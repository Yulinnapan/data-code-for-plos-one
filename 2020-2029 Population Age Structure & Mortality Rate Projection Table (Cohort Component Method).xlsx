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<sst xmlns="http://schemas.openxmlformats.org/spreadsheetml/2006/main" count="112" uniqueCount="104">
  <si>
    <t>年龄</t>
  </si>
  <si>
    <r>
      <t>人口数</t>
    </r>
    <r>
      <rPr>
        <sz val="14"/>
        <rFont val="Times New Roman"/>
        <charset val="134"/>
      </rPr>
      <t>_</t>
    </r>
    <r>
      <rPr>
        <sz val="14"/>
        <rFont val="宋体"/>
        <charset val="134"/>
      </rPr>
      <t>合计</t>
    </r>
  </si>
  <si>
    <r>
      <t>人口数</t>
    </r>
    <r>
      <rPr>
        <sz val="14"/>
        <rFont val="Times New Roman"/>
        <charset val="134"/>
      </rPr>
      <t>_</t>
    </r>
    <r>
      <rPr>
        <sz val="14"/>
        <rFont val="宋体"/>
        <charset val="134"/>
      </rPr>
      <t>男</t>
    </r>
  </si>
  <si>
    <r>
      <t>人口数</t>
    </r>
    <r>
      <rPr>
        <sz val="14"/>
        <rFont val="Times New Roman"/>
        <charset val="134"/>
      </rPr>
      <t>_</t>
    </r>
    <r>
      <rPr>
        <sz val="14"/>
        <rFont val="宋体"/>
        <charset val="134"/>
      </rPr>
      <t>女</t>
    </r>
  </si>
  <si>
    <t>总计</t>
  </si>
  <si>
    <t>分配而来的迁出率</t>
  </si>
  <si>
    <r>
      <t>死亡率</t>
    </r>
    <r>
      <rPr>
        <sz val="14"/>
        <rFont val="Times New Roman"/>
        <charset val="134"/>
      </rPr>
      <t>(</t>
    </r>
    <r>
      <rPr>
        <sz val="14"/>
        <rFont val="宋体"/>
        <charset val="134"/>
      </rPr>
      <t>千分之）</t>
    </r>
  </si>
  <si>
    <t>死亡率</t>
  </si>
  <si>
    <r>
      <t>0</t>
    </r>
    <r>
      <rPr>
        <sz val="14"/>
        <rFont val="宋体"/>
        <charset val="134"/>
      </rPr>
      <t>岁</t>
    </r>
  </si>
  <si>
    <t xml:space="preserve">0.00192000 </t>
  </si>
  <si>
    <t xml:space="preserve">0.00058000 </t>
  </si>
  <si>
    <t xml:space="preserve">0.00044000 </t>
  </si>
  <si>
    <t xml:space="preserve">0.00032000 </t>
  </si>
  <si>
    <t xml:space="preserve">0.00026000 </t>
  </si>
  <si>
    <t xml:space="preserve">0.00022000 </t>
  </si>
  <si>
    <t xml:space="preserve">0.00020000 </t>
  </si>
  <si>
    <t xml:space="preserve">0.00016000 </t>
  </si>
  <si>
    <t xml:space="preserve">0.00015000 </t>
  </si>
  <si>
    <t xml:space="preserve">0.00018000 </t>
  </si>
  <si>
    <t xml:space="preserve">0.00021000 </t>
  </si>
  <si>
    <t xml:space="preserve">0.00027000 </t>
  </si>
  <si>
    <t xml:space="preserve">0.00029000 </t>
  </si>
  <si>
    <t xml:space="preserve">0.00033000 </t>
  </si>
  <si>
    <t xml:space="preserve">0.00040000 </t>
  </si>
  <si>
    <t xml:space="preserve">0.00043000 </t>
  </si>
  <si>
    <t xml:space="preserve">0.00036000 </t>
  </si>
  <si>
    <t xml:space="preserve">0.00037000 </t>
  </si>
  <si>
    <t xml:space="preserve">0.00038000 </t>
  </si>
  <si>
    <t xml:space="preserve">0.00046000 </t>
  </si>
  <si>
    <t xml:space="preserve">0.00048000 </t>
  </si>
  <si>
    <t xml:space="preserve">0.00056000 </t>
  </si>
  <si>
    <t xml:space="preserve">0.00054000 </t>
  </si>
  <si>
    <t xml:space="preserve">0.00063000 </t>
  </si>
  <si>
    <t xml:space="preserve">0.00061000 </t>
  </si>
  <si>
    <t xml:space="preserve">0.00072000 </t>
  </si>
  <si>
    <t xml:space="preserve">0.00075000 </t>
  </si>
  <si>
    <t xml:space="preserve">0.00078000 </t>
  </si>
  <si>
    <t xml:space="preserve">0.00084000 </t>
  </si>
  <si>
    <t xml:space="preserve">0.00088000 </t>
  </si>
  <si>
    <t xml:space="preserve">0.00102000 </t>
  </si>
  <si>
    <t xml:space="preserve">0.00116000 </t>
  </si>
  <si>
    <t xml:space="preserve">0.00124000 </t>
  </si>
  <si>
    <t xml:space="preserve">0.00143000 </t>
  </si>
  <si>
    <t xml:space="preserve">0.00147000 </t>
  </si>
  <si>
    <t xml:space="preserve">0.00168000 </t>
  </si>
  <si>
    <t xml:space="preserve">0.00178000 </t>
  </si>
  <si>
    <t xml:space="preserve">0.00202000 </t>
  </si>
  <si>
    <t xml:space="preserve">0.00211000 </t>
  </si>
  <si>
    <t xml:space="preserve">0.00230000 </t>
  </si>
  <si>
    <t xml:space="preserve">0.00253000 </t>
  </si>
  <si>
    <t xml:space="preserve">0.00281000 </t>
  </si>
  <si>
    <t xml:space="preserve">0.00301000 </t>
  </si>
  <si>
    <t xml:space="preserve">0.00323000 </t>
  </si>
  <si>
    <t xml:space="preserve">0.00363000 </t>
  </si>
  <si>
    <t xml:space="preserve">0.00387000 </t>
  </si>
  <si>
    <t xml:space="preserve">0.00410000 </t>
  </si>
  <si>
    <t xml:space="preserve">0.00455000 </t>
  </si>
  <si>
    <t xml:space="preserve">0.00502000 </t>
  </si>
  <si>
    <t xml:space="preserve">0.00523000 </t>
  </si>
  <si>
    <t xml:space="preserve">0.00632000 </t>
  </si>
  <si>
    <t xml:space="preserve">0.00684000 </t>
  </si>
  <si>
    <t xml:space="preserve">0.00747000 </t>
  </si>
  <si>
    <t xml:space="preserve">0.00831000 </t>
  </si>
  <si>
    <t xml:space="preserve">0.00867000 </t>
  </si>
  <si>
    <t xml:space="preserve">0.00984000 </t>
  </si>
  <si>
    <t xml:space="preserve">0.01050000 </t>
  </si>
  <si>
    <t xml:space="preserve">0.01133000 </t>
  </si>
  <si>
    <t xml:space="preserve">0.01263000 </t>
  </si>
  <si>
    <t xml:space="preserve">0.01385000 </t>
  </si>
  <si>
    <t xml:space="preserve">0.01587000 </t>
  </si>
  <si>
    <t xml:space="preserve">0.01712000 </t>
  </si>
  <si>
    <t xml:space="preserve">0.01929000 </t>
  </si>
  <si>
    <t xml:space="preserve">0.02208000 </t>
  </si>
  <si>
    <t xml:space="preserve">0.02408000 </t>
  </si>
  <si>
    <t xml:space="preserve">0.02758000 </t>
  </si>
  <si>
    <t xml:space="preserve">0.03017000 </t>
  </si>
  <si>
    <t xml:space="preserve">0.03510000 </t>
  </si>
  <si>
    <t xml:space="preserve">0.03682000 </t>
  </si>
  <si>
    <t xml:space="preserve">0.04238000 </t>
  </si>
  <si>
    <t xml:space="preserve">0.04801000 </t>
  </si>
  <si>
    <t xml:space="preserve">0.05422000 </t>
  </si>
  <si>
    <t xml:space="preserve">0.06055000 </t>
  </si>
  <si>
    <t xml:space="preserve">0.06897000 </t>
  </si>
  <si>
    <t xml:space="preserve">0.07766000 </t>
  </si>
  <si>
    <t xml:space="preserve">0.08620000 </t>
  </si>
  <si>
    <t xml:space="preserve">0.09497000 </t>
  </si>
  <si>
    <t xml:space="preserve">0.10643000 </t>
  </si>
  <si>
    <t xml:space="preserve">0.11617000 </t>
  </si>
  <si>
    <t xml:space="preserve">0.13635000 </t>
  </si>
  <si>
    <t xml:space="preserve">0.14123000 </t>
  </si>
  <si>
    <t xml:space="preserve">0.15731000 </t>
  </si>
  <si>
    <t xml:space="preserve">0.18044000 </t>
  </si>
  <si>
    <t xml:space="preserve">0.19288000 </t>
  </si>
  <si>
    <t xml:space="preserve">0.20548000 </t>
  </si>
  <si>
    <t xml:space="preserve">0.21926000 </t>
  </si>
  <si>
    <t xml:space="preserve">0.24267000 </t>
  </si>
  <si>
    <t xml:space="preserve">0.24917000 </t>
  </si>
  <si>
    <t xml:space="preserve">0.25399000 </t>
  </si>
  <si>
    <t xml:space="preserve">0.25636000 </t>
  </si>
  <si>
    <t xml:space="preserve">0.27531000 </t>
  </si>
  <si>
    <t xml:space="preserve">0.24544000 </t>
  </si>
  <si>
    <t>100+</t>
  </si>
  <si>
    <t xml:space="preserve">0.37670000 </t>
  </si>
  <si>
    <t>总人口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</si>
</sst>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0000000_ "/>
    <numFmt numFmtId="178" formatCode="0_ "/>
    <numFmt numFmtId="179" formatCode="0.000%"/>
  </numFmts>
  <fonts count="22">
    <font>
      <sz val="11"/>
      <color theme="1"/>
      <name val="宋体"/>
      <charset val="134"/>
      <scheme val="minor"/>
    </font>
    <font>
      <sz val="14"/>
      <name val="Times New Roman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9" fontId="1" fillId="0" borderId="0" xfId="3" applyNumberFormat="1" applyFont="1" applyFill="1" applyBorder="1" applyAlignment="1" applyProtection="1">
      <alignment horizontal="center" vertical="center"/>
    </xf>
    <xf numFmtId="10" fontId="1" fillId="0" borderId="0" xfId="3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I132"/>
  <sheetViews>
    <sheetView tabSelected="1" topLeftCell="S96" workbookViewId="0">
      <selection activeCell="AG115" sqref="$A1:$XFD1048576"/>
    </sheetView>
  </sheetViews>
  <sheetFormatPr defaultColWidth="9" defaultRowHeight="18"/>
  <cols>
    <col min="1" max="2" width="9" style="1"/>
    <col min="3" max="3" width="9.44444444444444" style="2" customWidth="1"/>
    <col min="4" max="4" width="17.5555555555556" style="2" customWidth="1"/>
    <col min="5" max="6" width="14.6666666666667" style="2" customWidth="1"/>
    <col min="7" max="7" width="23.6666666666667" style="3" customWidth="1"/>
    <col min="8" max="8" width="21.2222222222222" style="3" customWidth="1"/>
    <col min="9" max="9" width="14.5555555555556" style="3" customWidth="1"/>
    <col min="10" max="10" width="22.7777777777778" style="3" customWidth="1"/>
    <col min="11" max="11" width="5.33333333333333" style="1" customWidth="1"/>
    <col min="12" max="12" width="12.8888888888889" style="1"/>
    <col min="13" max="13" width="15.6666666666667" style="1" customWidth="1"/>
    <col min="14" max="14" width="14.1111111111111" style="1" customWidth="1"/>
    <col min="15" max="15" width="5.33333333333333" style="1" customWidth="1"/>
    <col min="16" max="16" width="15.6666666666667" style="1" customWidth="1"/>
    <col min="17" max="17" width="5.33333333333333" style="1" customWidth="1"/>
    <col min="18" max="18" width="9.33333333333333" style="1" customWidth="1"/>
    <col min="19" max="19" width="15.6666666666667" style="1" customWidth="1"/>
    <col min="20" max="20" width="5.33333333333333" style="1" customWidth="1"/>
    <col min="21" max="21" width="5.66666666666667" style="1" customWidth="1"/>
    <col min="22" max="22" width="15.6666666666667" style="1" customWidth="1"/>
    <col min="23" max="23" width="5.33333333333333" style="1" customWidth="1"/>
    <col min="24" max="24" width="12.8888888888889" style="1" customWidth="1"/>
    <col min="25" max="25" width="15.6666666666667" style="1" customWidth="1"/>
    <col min="26" max="26" width="5.33333333333333" style="1" customWidth="1"/>
    <col min="27" max="27" width="18.6666666666667" style="1" customWidth="1"/>
    <col min="28" max="28" width="15.6666666666667" style="1" customWidth="1"/>
    <col min="29" max="29" width="5.33333333333333" style="1" customWidth="1"/>
    <col min="30" max="30" width="9" style="1"/>
    <col min="31" max="31" width="15.6666666666667" style="1" customWidth="1"/>
    <col min="32" max="32" width="5.33333333333333" style="1" customWidth="1"/>
    <col min="33" max="33" width="9" style="1"/>
    <col min="34" max="34" width="15.6666666666667" style="1" customWidth="1"/>
    <col min="35" max="35" width="5.33333333333333" style="1" customWidth="1"/>
    <col min="36" max="16384" width="9" style="1"/>
  </cols>
  <sheetData>
    <row r="1" s="1" customFormat="1" spans="3:35">
      <c r="C1" s="4" t="s">
        <v>0</v>
      </c>
      <c r="D1" s="4" t="s">
        <v>1</v>
      </c>
      <c r="E1" s="4" t="s">
        <v>2</v>
      </c>
      <c r="F1" s="4" t="s">
        <v>3</v>
      </c>
      <c r="G1" s="3"/>
      <c r="H1" s="3"/>
      <c r="I1" s="3"/>
      <c r="J1" s="3"/>
    </row>
    <row r="2" s="1" customFormat="1" spans="3:35">
      <c r="C2" s="4" t="s">
        <v>4</v>
      </c>
      <c r="D2" s="2">
        <v>66444864</v>
      </c>
      <c r="E2" s="2">
        <v>33995673</v>
      </c>
      <c r="F2" s="2">
        <v>32449191</v>
      </c>
      <c r="G2" s="5" t="s">
        <v>5</v>
      </c>
      <c r="H2" s="5" t="s">
        <v>6</v>
      </c>
      <c r="I2" s="5" t="s">
        <v>7</v>
      </c>
      <c r="J2" s="1">
        <v>2021</v>
      </c>
      <c r="M2" s="1">
        <v>2022</v>
      </c>
      <c r="P2" s="1">
        <v>2023</v>
      </c>
      <c r="S2" s="1">
        <v>2024</v>
      </c>
      <c r="V2" s="1">
        <v>2025</v>
      </c>
      <c r="Y2" s="1">
        <v>2026</v>
      </c>
      <c r="AB2" s="1">
        <v>2027</v>
      </c>
      <c r="AE2" s="1">
        <v>2028</v>
      </c>
      <c r="AH2" s="1">
        <v>2029</v>
      </c>
    </row>
    <row r="3" s="1" customFormat="1" spans="3:35">
      <c r="C3" s="2" t="s">
        <v>8</v>
      </c>
      <c r="D3" s="2">
        <v>565517</v>
      </c>
      <c r="E3" s="2">
        <v>301447</v>
      </c>
      <c r="F3" s="2">
        <v>264070</v>
      </c>
      <c r="G3" s="3">
        <v>5.16159579491189e-6</v>
      </c>
      <c r="H3" s="3">
        <v>1.92</v>
      </c>
      <c r="I3" s="13" t="s">
        <v>9</v>
      </c>
      <c r="J3" s="3">
        <v>498487.492356984</v>
      </c>
      <c r="K3" s="1">
        <v>0</v>
      </c>
      <c r="L3" s="1"/>
      <c r="M3" s="1">
        <v>483067.978018398</v>
      </c>
      <c r="N3" s="1"/>
      <c r="O3" s="1">
        <v>0</v>
      </c>
      <c r="P3" s="1">
        <v>473381.608172143</v>
      </c>
      <c r="Q3" s="1">
        <v>0</v>
      </c>
      <c r="R3" s="1"/>
      <c r="S3" s="1">
        <v>464209.757922773</v>
      </c>
      <c r="T3" s="1">
        <v>0</v>
      </c>
      <c r="U3" s="1"/>
      <c r="V3" s="1">
        <v>456141.046322459</v>
      </c>
      <c r="W3" s="1">
        <v>0</v>
      </c>
      <c r="X3" s="1"/>
      <c r="Y3" s="1">
        <v>457104.033421143</v>
      </c>
      <c r="Z3" s="1">
        <v>0</v>
      </c>
      <c r="AA3" s="1"/>
      <c r="AB3" s="1">
        <v>458574.355675681</v>
      </c>
      <c r="AC3" s="1">
        <v>0</v>
      </c>
      <c r="AD3" s="1"/>
      <c r="AE3" s="1">
        <v>462780.69782751</v>
      </c>
      <c r="AF3" s="1">
        <v>0</v>
      </c>
      <c r="AG3" s="1"/>
      <c r="AH3" s="1">
        <v>469700.275552803</v>
      </c>
      <c r="AI3" s="1">
        <v>0</v>
      </c>
    </row>
    <row r="4" s="1" customFormat="1" spans="3:35">
      <c r="C4" s="2">
        <v>1</v>
      </c>
      <c r="D4" s="2">
        <v>661208</v>
      </c>
      <c r="E4" s="2">
        <v>351933</v>
      </c>
      <c r="F4" s="2">
        <v>309275</v>
      </c>
      <c r="G4" s="3">
        <v>6.03498821850113e-6</v>
      </c>
      <c r="H4" s="3">
        <v>0.58</v>
      </c>
      <c r="I4" s="13" t="s">
        <v>10</v>
      </c>
      <c r="J4" s="3">
        <f t="shared" ref="J4:J67" si="0">(1-I3-G3)*D3</f>
        <v>564428.288389831</v>
      </c>
      <c r="K4" s="1">
        <v>1</v>
      </c>
      <c r="L4" s="1"/>
      <c r="M4" s="1">
        <f t="shared" ref="M4:M67" si="1">J3*(1-G3-I3)</f>
        <v>497527.823380714</v>
      </c>
      <c r="O4" s="1">
        <v>1</v>
      </c>
      <c r="P4" s="1">
        <f t="shared" ref="P4:P67" si="2">M3*(1-G3-I3)</f>
        <v>482137.994098959</v>
      </c>
      <c r="Q4" s="1">
        <v>1</v>
      </c>
      <c r="R4" s="1"/>
      <c r="S4" s="1">
        <f t="shared" ref="S4:S67" si="3">P3*(1-G3-I3)</f>
        <v>472470.272079934</v>
      </c>
      <c r="T4" s="1">
        <v>1</v>
      </c>
      <c r="U4" s="1"/>
      <c r="V4" s="1">
        <f t="shared" ref="V4:V67" si="4">S3*(1-G3-I3)</f>
        <v>463316.079124427</v>
      </c>
      <c r="W4" s="1">
        <v>1</v>
      </c>
      <c r="X4" s="1"/>
      <c r="Y4" s="1">
        <f t="shared" ref="Y4:Y67" si="5">V3*(1-G3-I3)</f>
        <v>455262.901097813</v>
      </c>
      <c r="Z4" s="1">
        <v>1</v>
      </c>
      <c r="AA4" s="1"/>
      <c r="AB4" s="1">
        <f t="shared" ref="AB4:AB67" si="6">Y3*(1-G3-I3)</f>
        <v>456224.034290718</v>
      </c>
      <c r="AC4" s="1">
        <v>1</v>
      </c>
      <c r="AD4" s="1"/>
      <c r="AE4" s="1">
        <f t="shared" ref="AE4:AE67" si="7">AB3*(1-G3-I3)</f>
        <v>457691.525937318</v>
      </c>
      <c r="AF4" s="1">
        <v>1</v>
      </c>
      <c r="AG4" s="1"/>
      <c r="AH4" s="1">
        <f t="shared" ref="AH4:AH67" si="8">AE3*(1-G3-I3)</f>
        <v>461889.770200777</v>
      </c>
      <c r="AI4" s="1">
        <v>1</v>
      </c>
    </row>
    <row r="5" s="1" customFormat="1" spans="3:35">
      <c r="C5" s="2">
        <v>2</v>
      </c>
      <c r="D5" s="2">
        <v>729944</v>
      </c>
      <c r="E5" s="2">
        <v>387401</v>
      </c>
      <c r="F5" s="2">
        <v>342543</v>
      </c>
      <c r="G5" s="3">
        <v>6.66235653556156e-6</v>
      </c>
      <c r="H5" s="3">
        <v>0.44</v>
      </c>
      <c r="I5" s="13" t="s">
        <v>11</v>
      </c>
      <c r="J5" s="3">
        <f t="shared" si="0"/>
        <v>660820.50897751</v>
      </c>
      <c r="K5" s="1">
        <v>2</v>
      </c>
      <c r="L5" s="1"/>
      <c r="M5" s="1">
        <f t="shared" si="1"/>
        <v>564097.513664494</v>
      </c>
      <c r="O5" s="1">
        <v>2</v>
      </c>
      <c r="P5" s="1">
        <f t="shared" si="2"/>
        <v>497236.254668601</v>
      </c>
      <c r="Q5" s="1">
        <v>2</v>
      </c>
      <c r="R5" s="1"/>
      <c r="S5" s="1">
        <f t="shared" si="3"/>
        <v>481855.444365267</v>
      </c>
      <c r="T5" s="1">
        <v>2</v>
      </c>
      <c r="U5" s="1"/>
      <c r="V5" s="1">
        <f t="shared" si="4"/>
        <v>472193.387969602</v>
      </c>
      <c r="W5" s="1">
        <v>2</v>
      </c>
      <c r="X5" s="1"/>
      <c r="Y5" s="1">
        <f t="shared" si="5"/>
        <v>463044.559691456</v>
      </c>
      <c r="Z5" s="1">
        <v>2</v>
      </c>
      <c r="AA5" s="1"/>
      <c r="AB5" s="1">
        <f t="shared" si="6"/>
        <v>454996.101108932</v>
      </c>
      <c r="AC5" s="1">
        <v>2</v>
      </c>
      <c r="AD5" s="1"/>
      <c r="AE5" s="1">
        <f t="shared" si="7"/>
        <v>455956.671044157</v>
      </c>
      <c r="AF5" s="1">
        <v>2</v>
      </c>
      <c r="AG5" s="1"/>
      <c r="AH5" s="1">
        <f t="shared" si="8"/>
        <v>457423.302689307</v>
      </c>
      <c r="AI5" s="1">
        <v>2</v>
      </c>
    </row>
    <row r="6" s="1" customFormat="1" spans="3:35">
      <c r="C6" s="2">
        <v>3</v>
      </c>
      <c r="D6" s="2">
        <v>877424</v>
      </c>
      <c r="E6" s="2">
        <v>464267</v>
      </c>
      <c r="F6" s="2">
        <v>413157</v>
      </c>
      <c r="G6" s="3">
        <v>8.00843834713152e-6</v>
      </c>
      <c r="H6" s="3">
        <v>0.32</v>
      </c>
      <c r="I6" s="13" t="s">
        <v>12</v>
      </c>
      <c r="J6" s="3">
        <f t="shared" si="0"/>
        <v>729617.961492821</v>
      </c>
      <c r="K6" s="1">
        <v>3</v>
      </c>
      <c r="L6" s="1"/>
      <c r="M6" s="1">
        <f t="shared" si="1"/>
        <v>660525.345331723</v>
      </c>
      <c r="O6" s="1">
        <v>3</v>
      </c>
      <c r="P6" s="1">
        <f t="shared" si="2"/>
        <v>563845.552539725</v>
      </c>
      <c r="Q6" s="1">
        <v>3</v>
      </c>
      <c r="R6" s="1"/>
      <c r="S6" s="1">
        <f t="shared" si="3"/>
        <v>497014.157951336</v>
      </c>
      <c r="T6" s="1">
        <v>3</v>
      </c>
      <c r="U6" s="1"/>
      <c r="V6" s="1">
        <f t="shared" si="4"/>
        <v>481640.217676978</v>
      </c>
      <c r="W6" s="1">
        <v>3</v>
      </c>
      <c r="X6" s="1"/>
      <c r="Y6" s="1">
        <f t="shared" si="5"/>
        <v>471982.476958191</v>
      </c>
      <c r="Z6" s="1">
        <v>3</v>
      </c>
      <c r="AA6" s="1"/>
      <c r="AB6" s="1">
        <f t="shared" si="6"/>
        <v>462837.735117243</v>
      </c>
      <c r="AC6" s="1">
        <v>3</v>
      </c>
      <c r="AD6" s="1"/>
      <c r="AE6" s="1">
        <f t="shared" si="7"/>
        <v>454792.871478196</v>
      </c>
      <c r="AF6" s="1">
        <v>3</v>
      </c>
      <c r="AG6" s="1"/>
      <c r="AH6" s="1">
        <f t="shared" si="8"/>
        <v>455753.01236299</v>
      </c>
      <c r="AI6" s="1">
        <v>3</v>
      </c>
    </row>
    <row r="7" s="1" customFormat="1" spans="3:35">
      <c r="C7" s="2">
        <v>4</v>
      </c>
      <c r="D7" s="2">
        <v>866995</v>
      </c>
      <c r="E7" s="2">
        <v>460688</v>
      </c>
      <c r="F7" s="2">
        <v>406307</v>
      </c>
      <c r="G7" s="3">
        <v>7.91325061175816e-6</v>
      </c>
      <c r="H7" s="3">
        <v>0.26</v>
      </c>
      <c r="I7" s="13" t="s">
        <v>13</v>
      </c>
      <c r="J7" s="3">
        <f t="shared" si="0"/>
        <v>877136.197523992</v>
      </c>
      <c r="K7" s="1">
        <v>4</v>
      </c>
      <c r="L7" s="1"/>
      <c r="M7" s="1">
        <f t="shared" si="1"/>
        <v>729378.640644682</v>
      </c>
      <c r="O7" s="1">
        <v>4</v>
      </c>
      <c r="P7" s="1">
        <f t="shared" si="2"/>
        <v>660308.687444712</v>
      </c>
      <c r="Q7" s="1">
        <v>4</v>
      </c>
      <c r="R7" s="1"/>
      <c r="S7" s="1">
        <f t="shared" si="3"/>
        <v>563660.606440567</v>
      </c>
      <c r="T7" s="1">
        <v>4</v>
      </c>
      <c r="U7" s="1"/>
      <c r="V7" s="1">
        <f t="shared" si="4"/>
        <v>496851.13311355</v>
      </c>
      <c r="W7" s="1">
        <v>4</v>
      </c>
      <c r="X7" s="1"/>
      <c r="Y7" s="1">
        <f t="shared" si="5"/>
        <v>481482.235621332</v>
      </c>
      <c r="Z7" s="1">
        <v>4</v>
      </c>
      <c r="AA7" s="1"/>
      <c r="AB7" s="1">
        <f t="shared" si="6"/>
        <v>471827.662722997</v>
      </c>
      <c r="AC7" s="1">
        <v>4</v>
      </c>
      <c r="AD7" s="1"/>
      <c r="AE7" s="1">
        <f t="shared" si="7"/>
        <v>462685.920434539</v>
      </c>
      <c r="AF7" s="1">
        <v>4</v>
      </c>
      <c r="AG7" s="1"/>
      <c r="AH7" s="1">
        <f t="shared" si="8"/>
        <v>454643.695578651</v>
      </c>
      <c r="AI7" s="1">
        <v>4</v>
      </c>
    </row>
    <row r="8" s="1" customFormat="1" spans="3:35">
      <c r="C8" s="2">
        <v>5</v>
      </c>
      <c r="D8" s="2">
        <v>859207</v>
      </c>
      <c r="E8" s="2">
        <v>456817</v>
      </c>
      <c r="F8" s="2">
        <v>402390</v>
      </c>
      <c r="G8" s="3">
        <v>7.8421678537672e-6</v>
      </c>
      <c r="H8" s="3">
        <v>0.22</v>
      </c>
      <c r="I8" s="13" t="s">
        <v>14</v>
      </c>
      <c r="J8" s="3">
        <f t="shared" si="0"/>
        <v>866762.720551286</v>
      </c>
      <c r="K8" s="1">
        <v>5</v>
      </c>
      <c r="L8" s="1"/>
      <c r="M8" s="1">
        <f t="shared" si="1"/>
        <v>876901.201114084</v>
      </c>
      <c r="O8" s="1">
        <v>5</v>
      </c>
      <c r="P8" s="1">
        <f t="shared" si="2"/>
        <v>729183.23044214</v>
      </c>
      <c r="Q8" s="1">
        <v>5</v>
      </c>
      <c r="R8" s="1"/>
      <c r="S8" s="1">
        <f t="shared" si="3"/>
        <v>660131.781997852</v>
      </c>
      <c r="T8" s="1">
        <v>5</v>
      </c>
      <c r="U8" s="1"/>
      <c r="V8" s="1">
        <f t="shared" si="4"/>
        <v>563509.594295254</v>
      </c>
      <c r="W8" s="1">
        <v>5</v>
      </c>
      <c r="X8" s="1"/>
      <c r="Y8" s="1">
        <f t="shared" si="5"/>
        <v>496718.020111407</v>
      </c>
      <c r="Z8" s="1">
        <v>5</v>
      </c>
      <c r="AA8" s="1"/>
      <c r="AB8" s="1">
        <f t="shared" si="6"/>
        <v>481353.240150475</v>
      </c>
      <c r="AC8" s="1">
        <v>5</v>
      </c>
      <c r="AD8" s="1"/>
      <c r="AE8" s="1">
        <f t="shared" si="7"/>
        <v>471701.253840149</v>
      </c>
      <c r="AF8" s="1">
        <v>5</v>
      </c>
      <c r="AG8" s="1"/>
      <c r="AH8" s="1">
        <f t="shared" si="8"/>
        <v>462561.960745583</v>
      </c>
      <c r="AI8" s="1">
        <v>5</v>
      </c>
    </row>
    <row r="9" s="1" customFormat="1" spans="3:35">
      <c r="C9" s="2">
        <v>6</v>
      </c>
      <c r="D9" s="2">
        <v>903816</v>
      </c>
      <c r="E9" s="2">
        <v>482728</v>
      </c>
      <c r="F9" s="2">
        <v>421088</v>
      </c>
      <c r="G9" s="3">
        <v>8.24932383106801e-6</v>
      </c>
      <c r="H9" s="3">
        <v>0.2</v>
      </c>
      <c r="I9" s="13" t="s">
        <v>15</v>
      </c>
      <c r="J9" s="3">
        <f t="shared" si="0"/>
        <v>859011.236414485</v>
      </c>
      <c r="K9" s="1">
        <v>6</v>
      </c>
      <c r="L9" s="1"/>
      <c r="M9" s="1">
        <f t="shared" si="1"/>
        <v>866565.235454021</v>
      </c>
      <c r="O9" s="1">
        <v>6</v>
      </c>
      <c r="P9" s="1">
        <f t="shared" si="2"/>
        <v>876701.406043428</v>
      </c>
      <c r="Q9" s="1">
        <v>6</v>
      </c>
      <c r="R9" s="1"/>
      <c r="S9" s="1">
        <f t="shared" si="3"/>
        <v>729017.091754153</v>
      </c>
      <c r="T9" s="1">
        <v>6</v>
      </c>
      <c r="U9" s="1"/>
      <c r="V9" s="1">
        <f t="shared" si="4"/>
        <v>659981.376141572</v>
      </c>
      <c r="W9" s="1">
        <v>6</v>
      </c>
      <c r="X9" s="1"/>
      <c r="Y9" s="1">
        <f t="shared" si="5"/>
        <v>563381.203047683</v>
      </c>
      <c r="Z9" s="1">
        <v>6</v>
      </c>
      <c r="AA9" s="1"/>
      <c r="AB9" s="1">
        <f t="shared" si="6"/>
        <v>496604.846800893</v>
      </c>
      <c r="AC9" s="1">
        <v>6</v>
      </c>
      <c r="AD9" s="1"/>
      <c r="AE9" s="1">
        <f t="shared" si="7"/>
        <v>481243.567584736</v>
      </c>
      <c r="AF9" s="1">
        <v>6</v>
      </c>
      <c r="AG9" s="1"/>
      <c r="AH9" s="1">
        <f t="shared" si="8"/>
        <v>471593.780403894</v>
      </c>
      <c r="AI9" s="1">
        <v>6</v>
      </c>
    </row>
    <row r="10" s="1" customFormat="1" spans="3:35">
      <c r="C10" s="2">
        <v>7</v>
      </c>
      <c r="D10" s="2">
        <v>926336</v>
      </c>
      <c r="E10" s="2">
        <v>494131</v>
      </c>
      <c r="F10" s="2">
        <v>432205</v>
      </c>
      <c r="G10" s="3">
        <v>8.45486873476042e-6</v>
      </c>
      <c r="H10" s="3">
        <v>0.16</v>
      </c>
      <c r="I10" s="13" t="s">
        <v>16</v>
      </c>
      <c r="J10" s="3">
        <f t="shared" si="0"/>
        <v>903627.780929132</v>
      </c>
      <c r="K10" s="1">
        <v>7</v>
      </c>
      <c r="L10" s="1"/>
      <c r="M10" s="1">
        <f t="shared" si="1"/>
        <v>858832.347905338</v>
      </c>
      <c r="O10" s="1">
        <v>7</v>
      </c>
      <c r="P10" s="1">
        <f t="shared" si="2"/>
        <v>866384.773829682</v>
      </c>
      <c r="Q10" s="1">
        <v>7</v>
      </c>
      <c r="R10" s="1"/>
      <c r="S10" s="1">
        <f t="shared" si="3"/>
        <v>876518.833568418</v>
      </c>
      <c r="T10" s="1">
        <v>7</v>
      </c>
      <c r="U10" s="1"/>
      <c r="V10" s="1">
        <f t="shared" si="4"/>
        <v>728865.274437734</v>
      </c>
      <c r="W10" s="1">
        <v>7</v>
      </c>
      <c r="X10" s="1"/>
      <c r="Y10" s="1">
        <f t="shared" si="5"/>
        <v>659843.935466249</v>
      </c>
      <c r="Z10" s="1">
        <v>7</v>
      </c>
      <c r="AA10" s="1"/>
      <c r="AB10" s="1">
        <f t="shared" si="6"/>
        <v>563263.87929309</v>
      </c>
      <c r="AC10" s="1">
        <v>7</v>
      </c>
      <c r="AD10" s="1"/>
      <c r="AE10" s="1">
        <f t="shared" si="7"/>
        <v>496501.429177335</v>
      </c>
      <c r="AF10" s="1">
        <v>7</v>
      </c>
      <c r="AG10" s="1"/>
      <c r="AH10" s="1">
        <f t="shared" si="8"/>
        <v>481143.348937188</v>
      </c>
      <c r="AI10" s="1">
        <v>7</v>
      </c>
    </row>
    <row r="11" s="1" customFormat="1" spans="3:35">
      <c r="C11" s="2">
        <v>8</v>
      </c>
      <c r="D11" s="2">
        <v>1003406</v>
      </c>
      <c r="E11" s="2">
        <v>537100</v>
      </c>
      <c r="F11" s="2">
        <v>466306</v>
      </c>
      <c r="G11" s="3">
        <v>9.15830326973259e-6</v>
      </c>
      <c r="H11" s="3">
        <v>0.15</v>
      </c>
      <c r="I11" s="13" t="s">
        <v>17</v>
      </c>
      <c r="J11" s="3">
        <f t="shared" si="0"/>
        <v>926179.954190716</v>
      </c>
      <c r="K11" s="1">
        <v>8</v>
      </c>
      <c r="L11" s="1"/>
      <c r="M11" s="1">
        <f t="shared" si="1"/>
        <v>903475.560429911</v>
      </c>
      <c r="O11" s="1">
        <v>8</v>
      </c>
      <c r="P11" s="1">
        <f t="shared" si="2"/>
        <v>858687.673414907</v>
      </c>
      <c r="Q11" s="1">
        <v>8</v>
      </c>
      <c r="R11" s="1"/>
      <c r="S11" s="1">
        <f t="shared" si="3"/>
        <v>866238.827096332</v>
      </c>
      <c r="T11" s="1">
        <v>8</v>
      </c>
      <c r="U11" s="1"/>
      <c r="V11" s="1">
        <f t="shared" si="4"/>
        <v>876371.179703366</v>
      </c>
      <c r="W11" s="1">
        <v>8</v>
      </c>
      <c r="X11" s="1"/>
      <c r="Y11" s="1">
        <f t="shared" si="5"/>
        <v>728742.493533603</v>
      </c>
      <c r="Z11" s="1">
        <v>8</v>
      </c>
      <c r="AA11" s="1"/>
      <c r="AB11" s="1">
        <f t="shared" si="6"/>
        <v>659732.781542715</v>
      </c>
      <c r="AC11" s="1">
        <v>8</v>
      </c>
      <c r="AD11" s="1"/>
      <c r="AE11" s="1">
        <f t="shared" si="7"/>
        <v>563168.99475024</v>
      </c>
      <c r="AF11" s="1">
        <v>8</v>
      </c>
      <c r="AG11" s="1"/>
      <c r="AH11" s="1">
        <f t="shared" si="8"/>
        <v>496417.791094257</v>
      </c>
      <c r="AI11" s="1">
        <v>8</v>
      </c>
    </row>
    <row r="12" s="1" customFormat="1" spans="3:35">
      <c r="C12" s="2">
        <v>9</v>
      </c>
      <c r="D12" s="2">
        <v>956125</v>
      </c>
      <c r="E12" s="2">
        <v>513071</v>
      </c>
      <c r="F12" s="2">
        <v>443054</v>
      </c>
      <c r="G12" s="3">
        <v>8.72675937135424e-6</v>
      </c>
      <c r="H12" s="3">
        <v>0.16</v>
      </c>
      <c r="I12" s="13" t="s">
        <v>16</v>
      </c>
      <c r="J12" s="3">
        <f t="shared" si="0"/>
        <v>1003246.29960355</v>
      </c>
      <c r="K12" s="1">
        <v>9</v>
      </c>
      <c r="L12" s="1"/>
      <c r="M12" s="1">
        <f t="shared" si="1"/>
        <v>926032.544960684</v>
      </c>
      <c r="O12" s="1">
        <v>9</v>
      </c>
      <c r="P12" s="1">
        <f t="shared" si="2"/>
        <v>903331.764792667</v>
      </c>
      <c r="Q12" s="1">
        <v>9</v>
      </c>
      <c r="R12" s="1"/>
      <c r="S12" s="1">
        <f t="shared" si="3"/>
        <v>858551.006141767</v>
      </c>
      <c r="T12" s="1">
        <v>9</v>
      </c>
      <c r="U12" s="1"/>
      <c r="V12" s="1">
        <f t="shared" si="4"/>
        <v>866100.957994385</v>
      </c>
      <c r="W12" s="1">
        <v>9</v>
      </c>
      <c r="X12" s="1"/>
      <c r="Y12" s="1">
        <f t="shared" si="5"/>
        <v>876231.69795337</v>
      </c>
      <c r="Z12" s="1">
        <v>9</v>
      </c>
      <c r="AA12" s="1"/>
      <c r="AB12" s="1">
        <f t="shared" si="6"/>
        <v>728626.508114812</v>
      </c>
      <c r="AC12" s="1">
        <v>9</v>
      </c>
      <c r="AD12" s="1"/>
      <c r="AE12" s="1">
        <f t="shared" si="7"/>
        <v>659627.779592593</v>
      </c>
      <c r="AF12" s="1">
        <v>9</v>
      </c>
      <c r="AG12" s="1"/>
      <c r="AH12" s="1">
        <f t="shared" si="8"/>
        <v>563079.361728582</v>
      </c>
      <c r="AI12" s="1">
        <v>9</v>
      </c>
    </row>
    <row r="13" s="1" customFormat="1" spans="3:35">
      <c r="C13" s="2">
        <v>10</v>
      </c>
      <c r="D13" s="2">
        <v>945875</v>
      </c>
      <c r="E13" s="2">
        <v>507147</v>
      </c>
      <c r="F13" s="2">
        <v>438728</v>
      </c>
      <c r="G13" s="3">
        <v>8.63320540763989e-6</v>
      </c>
      <c r="H13" s="3">
        <v>0.18</v>
      </c>
      <c r="I13" s="13" t="s">
        <v>18</v>
      </c>
      <c r="J13" s="3">
        <f t="shared" si="0"/>
        <v>955963.676127196</v>
      </c>
      <c r="K13" s="1">
        <v>10</v>
      </c>
      <c r="L13" s="1"/>
      <c r="M13" s="1">
        <f t="shared" si="1"/>
        <v>1003077.02510657</v>
      </c>
      <c r="O13" s="1">
        <v>10</v>
      </c>
      <c r="P13" s="1">
        <f t="shared" si="2"/>
        <v>925876.298490301</v>
      </c>
      <c r="Q13" s="1">
        <v>10</v>
      </c>
      <c r="R13" s="1"/>
      <c r="S13" s="1">
        <f t="shared" si="3"/>
        <v>903179.348551356</v>
      </c>
      <c r="T13" s="1">
        <v>10</v>
      </c>
      <c r="U13" s="1"/>
      <c r="V13" s="1">
        <f t="shared" si="4"/>
        <v>858406.145612746</v>
      </c>
      <c r="W13" s="1">
        <v>10</v>
      </c>
      <c r="X13" s="1"/>
      <c r="Y13" s="1">
        <f t="shared" si="5"/>
        <v>865954.823586454</v>
      </c>
      <c r="Z13" s="1">
        <v>10</v>
      </c>
      <c r="AA13" s="1"/>
      <c r="AB13" s="1">
        <f t="shared" si="6"/>
        <v>876083.854218515</v>
      </c>
      <c r="AC13" s="1">
        <v>10</v>
      </c>
      <c r="AD13" s="1"/>
      <c r="AE13" s="1">
        <f t="shared" si="7"/>
        <v>728503.569325306</v>
      </c>
      <c r="AF13" s="1">
        <v>10</v>
      </c>
      <c r="AG13" s="1"/>
      <c r="AH13" s="1">
        <f t="shared" si="8"/>
        <v>659516.482734951</v>
      </c>
      <c r="AI13" s="1">
        <v>10</v>
      </c>
    </row>
    <row r="14" s="1" customFormat="1" spans="3:35">
      <c r="C14" s="2">
        <v>11</v>
      </c>
      <c r="D14" s="2">
        <v>975945</v>
      </c>
      <c r="E14" s="2">
        <v>522634</v>
      </c>
      <c r="F14" s="2">
        <v>453311</v>
      </c>
      <c r="G14" s="3">
        <v>8.90766079192189e-6</v>
      </c>
      <c r="H14" s="3">
        <v>0.21</v>
      </c>
      <c r="I14" s="13" t="s">
        <v>19</v>
      </c>
      <c r="J14" s="3">
        <f t="shared" si="0"/>
        <v>945696.576566835</v>
      </c>
      <c r="K14" s="1">
        <v>11</v>
      </c>
      <c r="L14" s="1"/>
      <c r="M14" s="1">
        <f t="shared" si="1"/>
        <v>955783.349634715</v>
      </c>
      <c r="O14" s="1">
        <v>11</v>
      </c>
      <c r="P14" s="1">
        <f t="shared" si="2"/>
        <v>1002887.81147205</v>
      </c>
      <c r="Q14" s="1">
        <v>11</v>
      </c>
      <c r="R14" s="1"/>
      <c r="S14" s="1">
        <f t="shared" si="3"/>
        <v>925701.647476305</v>
      </c>
      <c r="T14" s="1">
        <v>11</v>
      </c>
      <c r="U14" s="1"/>
      <c r="V14" s="1">
        <f t="shared" si="4"/>
        <v>903008.978935781</v>
      </c>
      <c r="W14" s="1">
        <v>11</v>
      </c>
      <c r="X14" s="1"/>
      <c r="Y14" s="1">
        <f t="shared" si="5"/>
        <v>858244.221709957</v>
      </c>
      <c r="Z14" s="1">
        <v>11</v>
      </c>
      <c r="AA14" s="1"/>
      <c r="AB14" s="1">
        <f t="shared" si="6"/>
        <v>865791.475752343</v>
      </c>
      <c r="AC14" s="1">
        <v>11</v>
      </c>
      <c r="AD14" s="1"/>
      <c r="AE14" s="1">
        <f t="shared" si="7"/>
        <v>875918.595712888</v>
      </c>
      <c r="AF14" s="1">
        <v>11</v>
      </c>
      <c r="AG14" s="1"/>
      <c r="AH14" s="1">
        <f t="shared" si="8"/>
        <v>728366.149361873</v>
      </c>
      <c r="AI14" s="1">
        <v>11</v>
      </c>
    </row>
    <row r="15" s="1" customFormat="1" spans="3:35">
      <c r="C15" s="2">
        <v>12</v>
      </c>
      <c r="D15" s="2">
        <v>937661</v>
      </c>
      <c r="E15" s="2">
        <v>501429</v>
      </c>
      <c r="F15" s="2">
        <v>436232</v>
      </c>
      <c r="G15" s="3">
        <v>8.5582344556448e-6</v>
      </c>
      <c r="H15" s="3">
        <v>0.22</v>
      </c>
      <c r="I15" s="13" t="s">
        <v>14</v>
      </c>
      <c r="J15" s="3">
        <f t="shared" si="0"/>
        <v>975731.358162988</v>
      </c>
      <c r="K15" s="1">
        <v>12</v>
      </c>
      <c r="L15" s="1"/>
      <c r="M15" s="1">
        <f t="shared" si="1"/>
        <v>945489.55634144</v>
      </c>
      <c r="O15" s="1">
        <v>12</v>
      </c>
      <c r="P15" s="1">
        <f t="shared" si="2"/>
        <v>955574.121337423</v>
      </c>
      <c r="Q15" s="1">
        <v>12</v>
      </c>
      <c r="R15" s="1"/>
      <c r="S15" s="1">
        <f t="shared" si="3"/>
        <v>1002668.2716472</v>
      </c>
      <c r="T15" s="1">
        <v>12</v>
      </c>
      <c r="U15" s="1"/>
      <c r="V15" s="1">
        <f t="shared" si="4"/>
        <v>925499.004294065</v>
      </c>
      <c r="W15" s="1">
        <v>12</v>
      </c>
      <c r="X15" s="1"/>
      <c r="Y15" s="1">
        <f t="shared" si="5"/>
        <v>902811.303352528</v>
      </c>
      <c r="Z15" s="1">
        <v>12</v>
      </c>
      <c r="AA15" s="1"/>
      <c r="AB15" s="1">
        <f t="shared" si="6"/>
        <v>858056.345474995</v>
      </c>
      <c r="AC15" s="1">
        <v>12</v>
      </c>
      <c r="AD15" s="1"/>
      <c r="AE15" s="1">
        <f t="shared" si="7"/>
        <v>865601.947365653</v>
      </c>
      <c r="AF15" s="1">
        <v>12</v>
      </c>
      <c r="AG15" s="1"/>
      <c r="AH15" s="1">
        <f t="shared" si="8"/>
        <v>875726.850422057</v>
      </c>
      <c r="AI15" s="1">
        <v>12</v>
      </c>
    </row>
    <row r="16" s="1" customFormat="1" spans="3:35">
      <c r="C16" s="2">
        <v>13</v>
      </c>
      <c r="D16" s="2">
        <v>881423</v>
      </c>
      <c r="E16" s="2">
        <v>471666</v>
      </c>
      <c r="F16" s="2">
        <v>409757</v>
      </c>
      <c r="G16" s="3">
        <v>8.04493808380407e-6</v>
      </c>
      <c r="H16" s="3">
        <v>0.27</v>
      </c>
      <c r="I16" s="13" t="s">
        <v>20</v>
      </c>
      <c r="J16" s="3">
        <f t="shared" si="0"/>
        <v>937446.689857322</v>
      </c>
      <c r="K16" s="1">
        <v>13</v>
      </c>
      <c r="L16" s="1"/>
      <c r="M16" s="1">
        <f t="shared" si="1"/>
        <v>975508.346726464</v>
      </c>
      <c r="O16" s="1">
        <v>13</v>
      </c>
      <c r="P16" s="1">
        <f t="shared" si="2"/>
        <v>945273.456917746</v>
      </c>
      <c r="Q16" s="1">
        <v>13</v>
      </c>
      <c r="R16" s="1"/>
      <c r="S16" s="1">
        <f t="shared" si="3"/>
        <v>955355.717003358</v>
      </c>
      <c r="T16" s="1">
        <v>13</v>
      </c>
      <c r="U16" s="1"/>
      <c r="V16" s="1">
        <f t="shared" si="4"/>
        <v>1002439.10355729</v>
      </c>
      <c r="W16" s="1">
        <v>13</v>
      </c>
      <c r="X16" s="1"/>
      <c r="Y16" s="1">
        <f t="shared" si="5"/>
        <v>925287.473875653</v>
      </c>
      <c r="Z16" s="1">
        <v>13</v>
      </c>
      <c r="AA16" s="1"/>
      <c r="AB16" s="1">
        <f t="shared" si="6"/>
        <v>902604.958394987</v>
      </c>
      <c r="AC16" s="1">
        <v>13</v>
      </c>
      <c r="AD16" s="1"/>
      <c r="AE16" s="1">
        <f t="shared" si="7"/>
        <v>857860.22963161</v>
      </c>
      <c r="AF16" s="1">
        <v>13</v>
      </c>
      <c r="AG16" s="1"/>
      <c r="AH16" s="1">
        <f t="shared" si="8"/>
        <v>865404.106912821</v>
      </c>
      <c r="AI16" s="1">
        <v>13</v>
      </c>
    </row>
    <row r="17" s="1" customFormat="1" spans="3:35">
      <c r="C17" s="2">
        <v>14</v>
      </c>
      <c r="D17" s="2">
        <v>878640</v>
      </c>
      <c r="E17" s="2">
        <v>471590</v>
      </c>
      <c r="F17" s="2">
        <v>407050</v>
      </c>
      <c r="G17" s="3">
        <v>8.01953704175363e-6</v>
      </c>
      <c r="H17" s="3">
        <v>0.29</v>
      </c>
      <c r="I17" s="13" t="s">
        <v>21</v>
      </c>
      <c r="J17" s="3">
        <f t="shared" si="0"/>
        <v>881177.924796539</v>
      </c>
      <c r="K17" s="1">
        <v>14</v>
      </c>
      <c r="L17" s="1"/>
      <c r="M17" s="1">
        <f t="shared" si="1"/>
        <v>937186.037550484</v>
      </c>
      <c r="O17" s="1">
        <v>14</v>
      </c>
      <c r="P17" s="1">
        <f t="shared" si="2"/>
        <v>975237.111568598</v>
      </c>
      <c r="Q17" s="1">
        <v>14</v>
      </c>
      <c r="R17" s="1"/>
      <c r="S17" s="1">
        <f t="shared" si="3"/>
        <v>945010.628417945</v>
      </c>
      <c r="T17" s="1">
        <v>14</v>
      </c>
      <c r="U17" s="1"/>
      <c r="V17" s="1">
        <f t="shared" si="4"/>
        <v>955090.085182176</v>
      </c>
      <c r="W17" s="1">
        <v>14</v>
      </c>
      <c r="X17" s="1"/>
      <c r="Y17" s="1">
        <f t="shared" si="5"/>
        <v>1002160.38043881</v>
      </c>
      <c r="Z17" s="1">
        <v>14</v>
      </c>
      <c r="AA17" s="1"/>
      <c r="AB17" s="1">
        <f t="shared" si="6"/>
        <v>925030.20237727</v>
      </c>
      <c r="AC17" s="1">
        <v>14</v>
      </c>
      <c r="AD17" s="1"/>
      <c r="AE17" s="1">
        <f t="shared" si="7"/>
        <v>902353.993655216</v>
      </c>
      <c r="AF17" s="1">
        <v>14</v>
      </c>
      <c r="AG17" s="1"/>
      <c r="AH17" s="1">
        <f t="shared" si="8"/>
        <v>857621.705937177</v>
      </c>
      <c r="AI17" s="1">
        <v>14</v>
      </c>
    </row>
    <row r="18" s="1" customFormat="1" spans="3:35">
      <c r="C18" s="2">
        <v>15</v>
      </c>
      <c r="D18" s="2">
        <v>814159</v>
      </c>
      <c r="E18" s="2">
        <v>441032</v>
      </c>
      <c r="F18" s="2">
        <v>373127</v>
      </c>
      <c r="G18" s="3">
        <v>7.43100502865462e-6</v>
      </c>
      <c r="H18" s="3">
        <v>0.33</v>
      </c>
      <c r="I18" s="13" t="s">
        <v>22</v>
      </c>
      <c r="J18" s="3">
        <f t="shared" si="0"/>
        <v>878378.148113974</v>
      </c>
      <c r="K18" s="1">
        <v>15</v>
      </c>
      <c r="L18" s="1"/>
      <c r="M18" s="1">
        <f t="shared" si="1"/>
        <v>880915.31655934</v>
      </c>
      <c r="O18" s="1">
        <v>15</v>
      </c>
      <c r="P18" s="1">
        <f t="shared" si="2"/>
        <v>936906.737801451</v>
      </c>
      <c r="Q18" s="1">
        <v>15</v>
      </c>
      <c r="R18" s="1"/>
      <c r="S18" s="1">
        <f t="shared" si="3"/>
        <v>974946.471856102</v>
      </c>
      <c r="T18" s="1">
        <v>15</v>
      </c>
      <c r="U18" s="1"/>
      <c r="V18" s="1">
        <f t="shared" si="4"/>
        <v>944728.996787964</v>
      </c>
      <c r="W18" s="1">
        <v>15</v>
      </c>
      <c r="X18" s="1"/>
      <c r="Y18" s="1">
        <f t="shared" si="5"/>
        <v>954805.449677157</v>
      </c>
      <c r="Z18" s="1">
        <v>15</v>
      </c>
      <c r="AA18" s="1"/>
      <c r="AB18" s="1">
        <f t="shared" si="6"/>
        <v>1001861.71706619</v>
      </c>
      <c r="AC18" s="1">
        <v>15</v>
      </c>
      <c r="AD18" s="1"/>
      <c r="AE18" s="1">
        <f t="shared" si="7"/>
        <v>924754.525304607</v>
      </c>
      <c r="AF18" s="1">
        <v>15</v>
      </c>
      <c r="AG18" s="1"/>
      <c r="AH18" s="1">
        <f t="shared" si="8"/>
        <v>902085.074535779</v>
      </c>
      <c r="AI18" s="1">
        <v>15</v>
      </c>
    </row>
    <row r="19" s="1" customFormat="1" spans="3:35">
      <c r="C19" s="2">
        <v>16</v>
      </c>
      <c r="D19" s="2">
        <v>801191</v>
      </c>
      <c r="E19" s="2">
        <v>436602</v>
      </c>
      <c r="F19" s="2">
        <v>364589</v>
      </c>
      <c r="G19" s="3">
        <v>7.31264329192802e-6</v>
      </c>
      <c r="H19" s="3">
        <v>0.4</v>
      </c>
      <c r="I19" s="13" t="s">
        <v>23</v>
      </c>
      <c r="J19" s="3">
        <f t="shared" si="0"/>
        <v>813884.277510377</v>
      </c>
      <c r="K19" s="1">
        <v>16</v>
      </c>
      <c r="L19" s="1"/>
      <c r="M19" s="1">
        <f t="shared" si="1"/>
        <v>878081.75609266</v>
      </c>
      <c r="O19" s="1">
        <v>16</v>
      </c>
      <c r="P19" s="1">
        <f t="shared" si="2"/>
        <v>880618.068418728</v>
      </c>
      <c r="Q19" s="1">
        <v>16</v>
      </c>
      <c r="R19" s="1"/>
      <c r="S19" s="1">
        <f t="shared" si="3"/>
        <v>936590.596419296</v>
      </c>
      <c r="T19" s="1">
        <v>16</v>
      </c>
      <c r="U19" s="1"/>
      <c r="V19" s="1">
        <f t="shared" si="4"/>
        <v>974617.494688255</v>
      </c>
      <c r="W19" s="1">
        <v>16</v>
      </c>
      <c r="X19" s="1"/>
      <c r="Y19" s="1">
        <f t="shared" si="5"/>
        <v>944410.215933099</v>
      </c>
      <c r="Z19" s="1">
        <v>16</v>
      </c>
      <c r="AA19" s="1"/>
      <c r="AB19" s="1">
        <f t="shared" si="6"/>
        <v>954483.268714665</v>
      </c>
      <c r="AC19" s="1">
        <v>16</v>
      </c>
      <c r="AD19" s="1"/>
      <c r="AE19" s="1">
        <f t="shared" si="7"/>
        <v>1001523.6578601</v>
      </c>
      <c r="AF19" s="1">
        <v>16</v>
      </c>
      <c r="AG19" s="1"/>
      <c r="AH19" s="1">
        <f t="shared" si="8"/>
        <v>924442.484455729</v>
      </c>
      <c r="AI19" s="1">
        <v>16</v>
      </c>
    </row>
    <row r="20" s="1" customFormat="1" spans="3:35">
      <c r="C20" s="2">
        <v>17</v>
      </c>
      <c r="D20" s="2">
        <v>731119</v>
      </c>
      <c r="E20" s="2">
        <v>397866</v>
      </c>
      <c r="F20" s="2">
        <v>333253</v>
      </c>
      <c r="G20" s="3">
        <v>6.67308101432882e-6</v>
      </c>
      <c r="H20" s="3">
        <v>0.4</v>
      </c>
      <c r="I20" s="13" t="s">
        <v>23</v>
      </c>
      <c r="J20" s="3">
        <f t="shared" si="0"/>
        <v>800864.664776008</v>
      </c>
      <c r="K20" s="1">
        <v>17</v>
      </c>
      <c r="L20" s="1"/>
      <c r="M20" s="1">
        <f t="shared" si="1"/>
        <v>813552.77215397</v>
      </c>
      <c r="O20" s="1">
        <v>17</v>
      </c>
      <c r="P20" s="1">
        <f t="shared" si="2"/>
        <v>877724.10229156</v>
      </c>
      <c r="Q20" s="1">
        <v>17</v>
      </c>
      <c r="R20" s="1"/>
      <c r="S20" s="1">
        <f t="shared" si="3"/>
        <v>880259.38154555</v>
      </c>
      <c r="T20" s="1">
        <v>17</v>
      </c>
      <c r="U20" s="1"/>
      <c r="V20" s="1">
        <f t="shared" si="4"/>
        <v>936209.111227787</v>
      </c>
      <c r="W20" s="1">
        <v>17</v>
      </c>
      <c r="X20" s="1"/>
      <c r="Y20" s="1">
        <f t="shared" si="5"/>
        <v>974220.520660295</v>
      </c>
      <c r="Z20" s="1">
        <v>17</v>
      </c>
      <c r="AA20" s="1"/>
      <c r="AB20" s="1">
        <f t="shared" si="6"/>
        <v>944025.545711695</v>
      </c>
      <c r="AC20" s="1">
        <v>17</v>
      </c>
      <c r="AD20" s="1"/>
      <c r="AE20" s="1">
        <f t="shared" si="7"/>
        <v>954094.495611507</v>
      </c>
      <c r="AF20" s="1">
        <v>17</v>
      </c>
      <c r="AG20" s="1"/>
      <c r="AH20" s="1">
        <f t="shared" si="8"/>
        <v>1001115.7246117</v>
      </c>
      <c r="AI20" s="1">
        <v>17</v>
      </c>
    </row>
    <row r="21" s="1" customFormat="1" spans="3:35">
      <c r="C21" s="2">
        <v>18</v>
      </c>
      <c r="D21" s="2">
        <v>731734</v>
      </c>
      <c r="E21" s="2">
        <v>398587</v>
      </c>
      <c r="F21" s="2">
        <v>333147</v>
      </c>
      <c r="G21" s="3">
        <v>6.67869425215168e-6</v>
      </c>
      <c r="H21" s="3">
        <v>0.43</v>
      </c>
      <c r="I21" s="13" t="s">
        <v>24</v>
      </c>
      <c r="J21" s="3">
        <f t="shared" si="0"/>
        <v>730821.673583682</v>
      </c>
      <c r="K21" s="1">
        <v>18</v>
      </c>
      <c r="L21" s="1"/>
      <c r="M21" s="1">
        <f t="shared" si="1"/>
        <v>800538.974675308</v>
      </c>
      <c r="O21" s="1">
        <v>18</v>
      </c>
      <c r="P21" s="1">
        <f t="shared" si="2"/>
        <v>813221.922141551</v>
      </c>
      <c r="Q21" s="1">
        <v>18</v>
      </c>
      <c r="R21" s="1"/>
      <c r="S21" s="1">
        <f t="shared" si="3"/>
        <v>877367.1555266</v>
      </c>
      <c r="T21" s="1">
        <v>18</v>
      </c>
      <c r="U21" s="1"/>
      <c r="V21" s="1">
        <f t="shared" si="4"/>
        <v>879901.403750765</v>
      </c>
      <c r="W21" s="1">
        <v>18</v>
      </c>
      <c r="X21" s="1"/>
      <c r="Y21" s="1">
        <f t="shared" si="5"/>
        <v>935828.38018405</v>
      </c>
      <c r="Z21" s="1">
        <v>18</v>
      </c>
      <c r="AA21" s="1"/>
      <c r="AB21" s="1">
        <f t="shared" si="6"/>
        <v>973824.33139957</v>
      </c>
      <c r="AC21" s="1">
        <v>18</v>
      </c>
      <c r="AD21" s="1"/>
      <c r="AE21" s="1">
        <f t="shared" si="7"/>
        <v>943641.635934464</v>
      </c>
      <c r="AF21" s="1">
        <v>18</v>
      </c>
      <c r="AG21" s="1"/>
      <c r="AH21" s="1">
        <f t="shared" si="8"/>
        <v>953706.491063398</v>
      </c>
      <c r="AI21" s="1">
        <v>18</v>
      </c>
    </row>
    <row r="22" s="1" customFormat="1" spans="3:35">
      <c r="C22" s="2">
        <v>19</v>
      </c>
      <c r="D22" s="2">
        <v>764498</v>
      </c>
      <c r="E22" s="2">
        <v>411387</v>
      </c>
      <c r="F22" s="2">
        <v>353111</v>
      </c>
      <c r="G22" s="3">
        <v>6.9777383562626e-6</v>
      </c>
      <c r="H22" s="3">
        <v>0.36</v>
      </c>
      <c r="I22" s="13" t="s">
        <v>25</v>
      </c>
      <c r="J22" s="3">
        <f t="shared" si="0"/>
        <v>731414.46735234</v>
      </c>
      <c r="K22" s="1">
        <v>19</v>
      </c>
      <c r="L22" s="1"/>
      <c r="M22" s="1">
        <f t="shared" si="1"/>
        <v>730502.53932953</v>
      </c>
      <c r="O22" s="1">
        <v>19</v>
      </c>
      <c r="P22" s="1">
        <f t="shared" si="2"/>
        <v>800189.396361149</v>
      </c>
      <c r="Q22" s="1">
        <v>19</v>
      </c>
      <c r="R22" s="1"/>
      <c r="S22" s="1">
        <f t="shared" si="3"/>
        <v>812866.805454453</v>
      </c>
      <c r="T22" s="1">
        <v>19</v>
      </c>
      <c r="U22" s="1"/>
      <c r="V22" s="1">
        <f t="shared" si="4"/>
        <v>876984.027982745</v>
      </c>
      <c r="W22" s="1">
        <v>19</v>
      </c>
      <c r="X22" s="1"/>
      <c r="Y22" s="1">
        <f t="shared" si="5"/>
        <v>879517.169554705</v>
      </c>
      <c r="Z22" s="1">
        <v>19</v>
      </c>
      <c r="AA22" s="1"/>
      <c r="AB22" s="1">
        <f t="shared" si="6"/>
        <v>935419.723868947</v>
      </c>
      <c r="AC22" s="1">
        <v>19</v>
      </c>
      <c r="AD22" s="1"/>
      <c r="AE22" s="1">
        <f t="shared" si="7"/>
        <v>973399.083062104</v>
      </c>
      <c r="AF22" s="1">
        <v>19</v>
      </c>
      <c r="AG22" s="1"/>
      <c r="AH22" s="1">
        <f t="shared" si="8"/>
        <v>943229.567737042</v>
      </c>
      <c r="AI22" s="1">
        <v>19</v>
      </c>
    </row>
    <row r="23" s="1" customFormat="1" spans="3:35">
      <c r="C23" s="2">
        <v>20</v>
      </c>
      <c r="D23" s="2">
        <v>696409</v>
      </c>
      <c r="E23" s="2">
        <v>369683</v>
      </c>
      <c r="F23" s="2">
        <v>326726</v>
      </c>
      <c r="G23" s="3">
        <v>6.35627534793613e-6</v>
      </c>
      <c r="H23" s="3">
        <v>0.37</v>
      </c>
      <c r="I23" s="13" t="s">
        <v>26</v>
      </c>
      <c r="J23" s="3">
        <f t="shared" si="0"/>
        <v>764217.446252982</v>
      </c>
      <c r="K23" s="1">
        <v>20</v>
      </c>
      <c r="L23" s="1"/>
      <c r="M23" s="1">
        <f t="shared" si="1"/>
        <v>731146.05452531</v>
      </c>
      <c r="O23" s="1">
        <v>20</v>
      </c>
      <c r="P23" s="1">
        <f t="shared" si="2"/>
        <v>730234.461159784</v>
      </c>
      <c r="Q23" s="1">
        <v>20</v>
      </c>
      <c r="R23" s="1"/>
      <c r="S23" s="1">
        <f t="shared" si="3"/>
        <v>799895.744666216</v>
      </c>
      <c r="T23" s="1">
        <v>20</v>
      </c>
      <c r="U23" s="1"/>
      <c r="V23" s="1">
        <f t="shared" si="4"/>
        <v>812568.501432602</v>
      </c>
      <c r="W23" s="1">
        <v>20</v>
      </c>
      <c r="X23" s="1"/>
      <c r="Y23" s="1">
        <f t="shared" si="5"/>
        <v>876662.194367582</v>
      </c>
      <c r="Z23" s="1">
        <v>20</v>
      </c>
      <c r="AA23" s="1"/>
      <c r="AB23" s="1">
        <f t="shared" si="6"/>
        <v>879194.406332976</v>
      </c>
      <c r="AC23" s="1">
        <v>20</v>
      </c>
      <c r="AD23" s="1"/>
      <c r="AE23" s="1">
        <f t="shared" si="7"/>
        <v>935076.445654268</v>
      </c>
      <c r="AF23" s="1">
        <v>20</v>
      </c>
      <c r="AG23" s="1"/>
      <c r="AH23" s="1">
        <f t="shared" si="8"/>
        <v>973041.867268084</v>
      </c>
      <c r="AI23" s="1">
        <v>20</v>
      </c>
    </row>
    <row r="24" s="1" customFormat="1" spans="3:35">
      <c r="C24" s="2">
        <v>21</v>
      </c>
      <c r="D24" s="2">
        <v>624497</v>
      </c>
      <c r="E24" s="2">
        <v>327351</v>
      </c>
      <c r="F24" s="2">
        <v>297146</v>
      </c>
      <c r="G24" s="3">
        <v>6.31216192291333e-5</v>
      </c>
      <c r="H24" s="3">
        <v>0.38</v>
      </c>
      <c r="I24" s="13" t="s">
        <v>27</v>
      </c>
      <c r="J24" s="3">
        <f t="shared" si="0"/>
        <v>696146.902102641</v>
      </c>
      <c r="K24" s="1">
        <v>21</v>
      </c>
      <c r="L24" s="1"/>
      <c r="M24" s="1">
        <f t="shared" si="1"/>
        <v>763929.828221354</v>
      </c>
      <c r="O24" s="1">
        <v>21</v>
      </c>
      <c r="P24" s="1">
        <f t="shared" si="2"/>
        <v>730870.883119493</v>
      </c>
      <c r="Q24" s="1">
        <v>21</v>
      </c>
      <c r="R24" s="1"/>
      <c r="S24" s="1">
        <f t="shared" si="3"/>
        <v>729959.632837851</v>
      </c>
      <c r="T24" s="1">
        <v>21</v>
      </c>
      <c r="U24" s="1"/>
      <c r="V24" s="1">
        <f t="shared" si="4"/>
        <v>799594.698883087</v>
      </c>
      <c r="W24" s="1">
        <v>21</v>
      </c>
      <c r="X24" s="1"/>
      <c r="Y24" s="1">
        <f t="shared" si="5"/>
        <v>812262.686177938</v>
      </c>
      <c r="Z24" s="1">
        <v>21</v>
      </c>
      <c r="AA24" s="1"/>
      <c r="AB24" s="1">
        <f t="shared" si="6"/>
        <v>876332.257049371</v>
      </c>
      <c r="AC24" s="1">
        <v>21</v>
      </c>
      <c r="AD24" s="1"/>
      <c r="AE24" s="1">
        <f t="shared" si="7"/>
        <v>878863.516000902</v>
      </c>
      <c r="AF24" s="1">
        <v>21</v>
      </c>
      <c r="AG24" s="1"/>
      <c r="AH24" s="1">
        <f t="shared" si="8"/>
        <v>934724.523766016</v>
      </c>
      <c r="AI24" s="1">
        <v>21</v>
      </c>
    </row>
    <row r="25" s="1" customFormat="1" spans="3:35">
      <c r="C25" s="2">
        <v>22</v>
      </c>
      <c r="D25" s="2">
        <v>631422</v>
      </c>
      <c r="E25" s="2">
        <v>329966</v>
      </c>
      <c r="F25" s="2">
        <v>301456</v>
      </c>
      <c r="G25" s="3">
        <v>6.38215700906455e-5</v>
      </c>
      <c r="H25" s="3">
        <v>0.46</v>
      </c>
      <c r="I25" s="13" t="s">
        <v>28</v>
      </c>
      <c r="J25" s="3">
        <f t="shared" si="0"/>
        <v>624220.271878156</v>
      </c>
      <c r="K25" s="1">
        <v>22</v>
      </c>
      <c r="L25" s="1"/>
      <c r="M25" s="1">
        <f t="shared" si="1"/>
        <v>695838.42436016</v>
      </c>
      <c r="O25" s="1">
        <v>22</v>
      </c>
      <c r="P25" s="1">
        <f t="shared" si="2"/>
        <v>763591.314398895</v>
      </c>
      <c r="Q25" s="1">
        <v>22</v>
      </c>
      <c r="R25" s="1"/>
      <c r="S25" s="1">
        <f t="shared" si="3"/>
        <v>730547.018430318</v>
      </c>
      <c r="T25" s="1">
        <v>22</v>
      </c>
      <c r="U25" s="1"/>
      <c r="V25" s="1">
        <f t="shared" si="4"/>
        <v>729636.171943376</v>
      </c>
      <c r="W25" s="1">
        <v>22</v>
      </c>
      <c r="X25" s="1"/>
      <c r="Y25" s="1">
        <f t="shared" si="5"/>
        <v>799240.381185391</v>
      </c>
      <c r="Z25" s="1">
        <v>22</v>
      </c>
      <c r="AA25" s="1"/>
      <c r="AB25" s="1">
        <f t="shared" si="6"/>
        <v>811902.755021199</v>
      </c>
      <c r="AC25" s="1">
        <v>22</v>
      </c>
      <c r="AD25" s="1"/>
      <c r="AE25" s="1">
        <f t="shared" si="7"/>
        <v>875943.935280645</v>
      </c>
      <c r="AF25" s="1">
        <v>22</v>
      </c>
      <c r="AG25" s="1"/>
      <c r="AH25" s="1">
        <f t="shared" si="8"/>
        <v>878474.07257661</v>
      </c>
      <c r="AI25" s="1">
        <v>22</v>
      </c>
    </row>
    <row r="26" s="1" customFormat="1" spans="3:35">
      <c r="C26" s="2">
        <v>23</v>
      </c>
      <c r="D26" s="2">
        <v>571893</v>
      </c>
      <c r="E26" s="2">
        <v>299673</v>
      </c>
      <c r="F26" s="2">
        <v>272220</v>
      </c>
      <c r="G26" s="3">
        <v>5.78046206559947e-5</v>
      </c>
      <c r="H26" s="3">
        <v>0.44</v>
      </c>
      <c r="I26" s="13" t="s">
        <v>11</v>
      </c>
      <c r="J26" s="3">
        <f t="shared" si="0"/>
        <v>631091.24753657</v>
      </c>
      <c r="K26" s="1">
        <v>23</v>
      </c>
      <c r="L26" s="1"/>
      <c r="M26" s="1">
        <f t="shared" si="1"/>
        <v>623893.291835259</v>
      </c>
      <c r="O26" s="1">
        <v>23</v>
      </c>
      <c r="P26" s="1">
        <f t="shared" si="2"/>
        <v>695473.929184182</v>
      </c>
      <c r="Q26" s="1">
        <v>23</v>
      </c>
      <c r="R26" s="1"/>
      <c r="S26" s="1">
        <f t="shared" si="3"/>
        <v>763191.328797679</v>
      </c>
      <c r="T26" s="1">
        <v>23</v>
      </c>
      <c r="U26" s="1"/>
      <c r="V26" s="1">
        <f t="shared" si="4"/>
        <v>730164.342144099</v>
      </c>
      <c r="W26" s="1">
        <v>23</v>
      </c>
      <c r="X26" s="1"/>
      <c r="Y26" s="1">
        <f t="shared" si="5"/>
        <v>729253.972778193</v>
      </c>
      <c r="Z26" s="1">
        <v>23</v>
      </c>
      <c r="AA26" s="1"/>
      <c r="AB26" s="1">
        <f t="shared" si="6"/>
        <v>798821.721834038</v>
      </c>
      <c r="AC26" s="1">
        <v>23</v>
      </c>
      <c r="AD26" s="1"/>
      <c r="AE26" s="1">
        <f t="shared" si="7"/>
        <v>811477.462845303</v>
      </c>
      <c r="AF26" s="1">
        <v>23</v>
      </c>
      <c r="AG26" s="1"/>
      <c r="AH26" s="1">
        <f t="shared" si="8"/>
        <v>875485.096953155</v>
      </c>
      <c r="AI26" s="1">
        <v>23</v>
      </c>
    </row>
    <row r="27" s="1" customFormat="1" spans="3:35">
      <c r="C27" s="2">
        <v>24</v>
      </c>
      <c r="D27" s="2">
        <v>554336</v>
      </c>
      <c r="E27" s="2">
        <v>289602</v>
      </c>
      <c r="F27" s="2">
        <v>264734</v>
      </c>
      <c r="G27" s="3">
        <v>5.6030030435696e-5</v>
      </c>
      <c r="H27" s="3">
        <v>0.46</v>
      </c>
      <c r="I27" s="13" t="s">
        <v>28</v>
      </c>
      <c r="J27" s="3">
        <f t="shared" si="0"/>
        <v>571608.309022079</v>
      </c>
      <c r="K27" s="1">
        <v>24</v>
      </c>
      <c r="L27" s="1"/>
      <c r="M27" s="1">
        <f t="shared" si="1"/>
        <v>630777.087397491</v>
      </c>
      <c r="O27" s="1">
        <v>24</v>
      </c>
      <c r="P27" s="1">
        <f t="shared" si="2"/>
        <v>623582.714871787</v>
      </c>
      <c r="Q27" s="1">
        <v>24</v>
      </c>
      <c r="R27" s="1"/>
      <c r="S27" s="1">
        <f t="shared" si="3"/>
        <v>695127.719048689</v>
      </c>
      <c r="T27" s="1">
        <v>24</v>
      </c>
      <c r="U27" s="1"/>
      <c r="V27" s="1">
        <f t="shared" si="4"/>
        <v>762811.408627759</v>
      </c>
      <c r="W27" s="1">
        <v>24</v>
      </c>
      <c r="X27" s="1"/>
      <c r="Y27" s="1">
        <f t="shared" si="5"/>
        <v>729800.862960741</v>
      </c>
      <c r="Z27" s="1">
        <v>24</v>
      </c>
      <c r="AA27" s="1"/>
      <c r="AB27" s="1">
        <f t="shared" si="6"/>
        <v>728890.946780913</v>
      </c>
      <c r="AC27" s="1">
        <v>24</v>
      </c>
      <c r="AD27" s="1"/>
      <c r="AE27" s="1">
        <f t="shared" si="7"/>
        <v>798424.064689829</v>
      </c>
      <c r="AF27" s="1">
        <v>24</v>
      </c>
      <c r="AG27" s="1"/>
      <c r="AH27" s="1">
        <f t="shared" si="8"/>
        <v>811073.505614741</v>
      </c>
      <c r="AI27" s="1">
        <v>24</v>
      </c>
    </row>
    <row r="28" s="1" customFormat="1" spans="3:35">
      <c r="C28" s="2">
        <v>25</v>
      </c>
      <c r="D28" s="2">
        <v>570505</v>
      </c>
      <c r="E28" s="2">
        <v>296265</v>
      </c>
      <c r="F28" s="2">
        <v>274240</v>
      </c>
      <c r="G28" s="3">
        <v>5.76643272558823e-5</v>
      </c>
      <c r="H28" s="3">
        <v>0.48</v>
      </c>
      <c r="I28" s="13" t="s">
        <v>29</v>
      </c>
      <c r="J28" s="3">
        <f t="shared" si="0"/>
        <v>554049.945977048</v>
      </c>
      <c r="K28" s="1">
        <v>25</v>
      </c>
      <c r="L28" s="1"/>
      <c r="M28" s="1">
        <f t="shared" si="1"/>
        <v>571313.341968977</v>
      </c>
      <c r="O28" s="1">
        <v>25</v>
      </c>
      <c r="P28" s="1">
        <f t="shared" si="2"/>
        <v>630451.587477883</v>
      </c>
      <c r="Q28" s="1">
        <v>25</v>
      </c>
      <c r="R28" s="1"/>
      <c r="S28" s="1">
        <f t="shared" si="3"/>
        <v>623260.927464452</v>
      </c>
      <c r="T28" s="1">
        <v>25</v>
      </c>
      <c r="U28" s="1"/>
      <c r="V28" s="1">
        <f t="shared" si="4"/>
        <v>694769.012270671</v>
      </c>
      <c r="W28" s="1">
        <v>25</v>
      </c>
      <c r="X28" s="1"/>
      <c r="Y28" s="1">
        <f t="shared" si="5"/>
        <v>762417.775033348</v>
      </c>
      <c r="Z28" s="1">
        <v>25</v>
      </c>
      <c r="AA28" s="1"/>
      <c r="AB28" s="1">
        <f t="shared" si="6"/>
        <v>729424.263799216</v>
      </c>
      <c r="AC28" s="1">
        <v>25</v>
      </c>
      <c r="AD28" s="1"/>
      <c r="AE28" s="1">
        <f t="shared" si="7"/>
        <v>728514.817163461</v>
      </c>
      <c r="AF28" s="1">
        <v>25</v>
      </c>
      <c r="AG28" s="1"/>
      <c r="AH28" s="1">
        <f t="shared" si="8"/>
        <v>798012.053895426</v>
      </c>
      <c r="AI28" s="1">
        <v>25</v>
      </c>
    </row>
    <row r="29" s="1" customFormat="1" spans="3:35">
      <c r="C29" s="2">
        <v>26</v>
      </c>
      <c r="D29" s="2">
        <v>532852</v>
      </c>
      <c r="E29" s="2">
        <v>275135</v>
      </c>
      <c r="F29" s="2">
        <v>257717</v>
      </c>
      <c r="G29" s="3">
        <v>5.38585150120531e-5</v>
      </c>
      <c r="H29" s="3">
        <v>0.18</v>
      </c>
      <c r="I29" s="13" t="s">
        <v>18</v>
      </c>
      <c r="J29" s="3">
        <f t="shared" si="0"/>
        <v>570198.259812979</v>
      </c>
      <c r="K29" s="1">
        <v>26</v>
      </c>
      <c r="L29" s="1"/>
      <c r="M29" s="1">
        <f t="shared" si="1"/>
        <v>553752.053085578</v>
      </c>
      <c r="O29" s="1">
        <v>26</v>
      </c>
      <c r="P29" s="1">
        <f t="shared" si="2"/>
        <v>571006.167165315</v>
      </c>
      <c r="Q29" s="1">
        <v>26</v>
      </c>
      <c r="R29" s="1"/>
      <c r="S29" s="1">
        <f t="shared" si="3"/>
        <v>630112.616149234</v>
      </c>
      <c r="T29" s="1">
        <v>26</v>
      </c>
      <c r="U29" s="1"/>
      <c r="V29" s="1">
        <f t="shared" si="4"/>
        <v>622925.822297182</v>
      </c>
      <c r="W29" s="1">
        <v>26</v>
      </c>
      <c r="X29" s="1"/>
      <c r="Y29" s="1">
        <f t="shared" si="5"/>
        <v>694395.45975709</v>
      </c>
      <c r="Z29" s="1">
        <v>26</v>
      </c>
      <c r="AA29" s="1"/>
      <c r="AB29" s="1">
        <f t="shared" si="6"/>
        <v>762007.850193247</v>
      </c>
      <c r="AC29" s="1">
        <v>26</v>
      </c>
      <c r="AD29" s="1"/>
      <c r="AE29" s="1">
        <f t="shared" si="7"/>
        <v>729032.078393136</v>
      </c>
      <c r="AF29" s="1">
        <v>26</v>
      </c>
      <c r="AG29" s="1"/>
      <c r="AH29" s="1">
        <f t="shared" si="8"/>
        <v>728123.120734395</v>
      </c>
      <c r="AI29" s="1">
        <v>26</v>
      </c>
    </row>
    <row r="30" s="1" customFormat="1" spans="3:35">
      <c r="C30" s="2">
        <v>27</v>
      </c>
      <c r="D30" s="2">
        <v>591460</v>
      </c>
      <c r="E30" s="2">
        <v>304540</v>
      </c>
      <c r="F30" s="2">
        <v>286920</v>
      </c>
      <c r="G30" s="3">
        <v>5.97823735090212e-5</v>
      </c>
      <c r="H30" s="3">
        <v>0.58</v>
      </c>
      <c r="I30" s="13" t="s">
        <v>10</v>
      </c>
      <c r="J30" s="3">
        <f t="shared" si="0"/>
        <v>532727.388022559</v>
      </c>
      <c r="K30" s="1">
        <v>27</v>
      </c>
      <c r="L30" s="1"/>
      <c r="M30" s="1">
        <f t="shared" si="1"/>
        <v>570064.914094677</v>
      </c>
      <c r="O30" s="1">
        <v>27</v>
      </c>
      <c r="P30" s="1">
        <f t="shared" si="2"/>
        <v>553622.553452759</v>
      </c>
      <c r="Q30" s="1">
        <v>27</v>
      </c>
      <c r="R30" s="1"/>
      <c r="S30" s="1">
        <f t="shared" si="3"/>
        <v>570872.632510999</v>
      </c>
      <c r="T30" s="1">
        <v>27</v>
      </c>
      <c r="U30" s="1"/>
      <c r="V30" s="1">
        <f t="shared" si="4"/>
        <v>629965.258948531</v>
      </c>
      <c r="W30" s="1">
        <v>27</v>
      </c>
      <c r="X30" s="1"/>
      <c r="Y30" s="1">
        <f t="shared" si="5"/>
        <v>622780.145789417</v>
      </c>
      <c r="Z30" s="1">
        <v>27</v>
      </c>
      <c r="AA30" s="1"/>
      <c r="AB30" s="1">
        <f t="shared" si="6"/>
        <v>694233.06946604</v>
      </c>
      <c r="AC30" s="1">
        <v>27</v>
      </c>
      <c r="AD30" s="1"/>
      <c r="AE30" s="1">
        <f t="shared" si="7"/>
        <v>761829.648168973</v>
      </c>
      <c r="AF30" s="1">
        <v>27</v>
      </c>
      <c r="AG30" s="1"/>
      <c r="AH30" s="1">
        <f t="shared" si="8"/>
        <v>728861.588033887</v>
      </c>
      <c r="AI30" s="1">
        <v>27</v>
      </c>
    </row>
    <row r="31" s="1" customFormat="1" spans="3:35">
      <c r="C31" s="2">
        <v>28</v>
      </c>
      <c r="D31" s="2">
        <v>673492</v>
      </c>
      <c r="E31" s="2">
        <v>347755</v>
      </c>
      <c r="F31" s="2">
        <v>325737</v>
      </c>
      <c r="G31" s="3">
        <v>6.80738347467921e-5</v>
      </c>
      <c r="H31" s="3">
        <v>0.56</v>
      </c>
      <c r="I31" s="13" t="s">
        <v>30</v>
      </c>
      <c r="J31" s="3">
        <f t="shared" si="0"/>
        <v>591081.594317364</v>
      </c>
      <c r="K31" s="1">
        <v>28</v>
      </c>
      <c r="L31" s="1"/>
      <c r="M31" s="1">
        <f t="shared" si="1"/>
        <v>532386.558429816</v>
      </c>
      <c r="O31" s="1">
        <v>28</v>
      </c>
      <c r="P31" s="1">
        <f t="shared" si="2"/>
        <v>569700.196610883</v>
      </c>
      <c r="Q31" s="1">
        <v>28</v>
      </c>
      <c r="R31" s="1"/>
      <c r="S31" s="1">
        <f t="shared" si="3"/>
        <v>553268.355501483</v>
      </c>
      <c r="T31" s="1">
        <v>28</v>
      </c>
      <c r="U31" s="1"/>
      <c r="V31" s="1">
        <f t="shared" si="4"/>
        <v>570507.3982632</v>
      </c>
      <c r="W31" s="1">
        <v>28</v>
      </c>
      <c r="X31" s="1"/>
      <c r="Y31" s="1">
        <f t="shared" si="5"/>
        <v>629562.218279933</v>
      </c>
      <c r="Z31" s="1">
        <v>28</v>
      </c>
      <c r="AA31" s="1"/>
      <c r="AB31" s="1">
        <f t="shared" si="6"/>
        <v>622381.70202957</v>
      </c>
      <c r="AC31" s="1">
        <v>28</v>
      </c>
      <c r="AD31" s="1"/>
      <c r="AE31" s="1">
        <f t="shared" si="7"/>
        <v>693788.911385089</v>
      </c>
      <c r="AF31" s="1">
        <v>28</v>
      </c>
      <c r="AG31" s="1"/>
      <c r="AH31" s="1">
        <f t="shared" si="8"/>
        <v>761342.242988458</v>
      </c>
      <c r="AI31" s="1">
        <v>28</v>
      </c>
    </row>
    <row r="32" s="1" customFormat="1" spans="3:35">
      <c r="C32" s="2">
        <v>29</v>
      </c>
      <c r="D32" s="2">
        <v>853146</v>
      </c>
      <c r="E32" s="2">
        <v>441060</v>
      </c>
      <c r="F32" s="2">
        <v>412086</v>
      </c>
      <c r="G32" s="3">
        <v>8.62325310751824e-5</v>
      </c>
      <c r="H32" s="3">
        <v>0.54</v>
      </c>
      <c r="I32" s="13" t="s">
        <v>31</v>
      </c>
      <c r="J32" s="3">
        <f t="shared" si="0"/>
        <v>673068.997296889</v>
      </c>
      <c r="K32" s="1">
        <v>29</v>
      </c>
      <c r="L32" s="1"/>
      <c r="M32" s="1">
        <f t="shared" si="1"/>
        <v>590710.351433773</v>
      </c>
      <c r="O32" s="1">
        <v>29</v>
      </c>
      <c r="P32" s="1">
        <f t="shared" si="2"/>
        <v>532052.180362496</v>
      </c>
      <c r="Q32" s="1">
        <v>29</v>
      </c>
      <c r="R32" s="1"/>
      <c r="S32" s="1">
        <f t="shared" si="3"/>
        <v>569342.382823741</v>
      </c>
      <c r="T32" s="1">
        <v>29</v>
      </c>
      <c r="U32" s="1"/>
      <c r="V32" s="1">
        <f t="shared" si="4"/>
        <v>552920.862123799</v>
      </c>
      <c r="W32" s="1">
        <v>29</v>
      </c>
      <c r="X32" s="1"/>
      <c r="Y32" s="1">
        <f t="shared" si="5"/>
        <v>570149.077493821</v>
      </c>
      <c r="Z32" s="1">
        <v>29</v>
      </c>
      <c r="AA32" s="1"/>
      <c r="AB32" s="1">
        <f t="shared" si="6"/>
        <v>629166.806723286</v>
      </c>
      <c r="AC32" s="1">
        <v>29</v>
      </c>
      <c r="AD32" s="1"/>
      <c r="AE32" s="1">
        <f t="shared" si="7"/>
        <v>621990.8003673</v>
      </c>
      <c r="AF32" s="1">
        <v>29</v>
      </c>
      <c r="AG32" s="1"/>
      <c r="AH32" s="1">
        <f t="shared" si="8"/>
        <v>693353.160723011</v>
      </c>
      <c r="AI32" s="1">
        <v>29</v>
      </c>
    </row>
    <row r="33" s="1" customFormat="1" spans="3:35">
      <c r="C33" s="2">
        <v>30</v>
      </c>
      <c r="D33" s="2">
        <v>1183201</v>
      </c>
      <c r="E33" s="2">
        <v>601579</v>
      </c>
      <c r="F33" s="2">
        <v>581622</v>
      </c>
      <c r="G33" s="3">
        <v>0.00011959314935625</v>
      </c>
      <c r="H33" s="3">
        <v>0.58</v>
      </c>
      <c r="I33" s="13" t="s">
        <v>10</v>
      </c>
      <c r="J33" s="3">
        <f t="shared" si="0"/>
        <v>852611.732221043</v>
      </c>
      <c r="K33" s="1">
        <v>30</v>
      </c>
      <c r="L33" s="1"/>
      <c r="M33" s="1">
        <f t="shared" si="1"/>
        <v>672647.499595123</v>
      </c>
      <c r="O33" s="1">
        <v>30</v>
      </c>
      <c r="P33" s="1">
        <f t="shared" si="2"/>
        <v>590340.429395262</v>
      </c>
      <c r="Q33" s="1">
        <v>30</v>
      </c>
      <c r="R33" s="1"/>
      <c r="S33" s="1">
        <f t="shared" si="3"/>
        <v>531718.991978923</v>
      </c>
      <c r="T33" s="1">
        <v>30</v>
      </c>
      <c r="U33" s="1"/>
      <c r="V33" s="1">
        <f t="shared" si="4"/>
        <v>568985.842102297</v>
      </c>
      <c r="W33" s="1">
        <v>30</v>
      </c>
      <c r="X33" s="1"/>
      <c r="Y33" s="1">
        <f t="shared" si="5"/>
        <v>552574.605092827</v>
      </c>
      <c r="Z33" s="1">
        <v>30</v>
      </c>
      <c r="AA33" s="1"/>
      <c r="AB33" s="1">
        <f t="shared" si="6"/>
        <v>569792.031593932</v>
      </c>
      <c r="AC33" s="1">
        <v>30</v>
      </c>
      <c r="AD33" s="1"/>
      <c r="AE33" s="1">
        <f t="shared" si="7"/>
        <v>628772.802001443</v>
      </c>
      <c r="AF33" s="1">
        <v>30</v>
      </c>
      <c r="AG33" s="1"/>
      <c r="AH33" s="1">
        <f t="shared" si="8"/>
        <v>621601.28949408</v>
      </c>
      <c r="AI33" s="1">
        <v>30</v>
      </c>
    </row>
    <row r="34" s="1" customFormat="1" spans="3:35">
      <c r="C34" s="2">
        <v>31</v>
      </c>
      <c r="D34" s="2">
        <v>1147729</v>
      </c>
      <c r="E34" s="2">
        <v>579935</v>
      </c>
      <c r="F34" s="2">
        <v>567794</v>
      </c>
      <c r="G34" s="3">
        <v>3.52557036223407e-5</v>
      </c>
      <c r="H34" s="3">
        <v>0.63</v>
      </c>
      <c r="I34" s="13" t="s">
        <v>32</v>
      </c>
      <c r="J34" s="3">
        <f t="shared" si="0"/>
        <v>1182373.24068609</v>
      </c>
      <c r="K34" s="1">
        <v>31</v>
      </c>
      <c r="L34" s="1"/>
      <c r="M34" s="1">
        <f t="shared" si="1"/>
        <v>852015.250894121</v>
      </c>
      <c r="O34" s="1">
        <v>31</v>
      </c>
      <c r="P34" s="1">
        <f t="shared" si="2"/>
        <v>672176.920012475</v>
      </c>
      <c r="Q34" s="1">
        <v>31</v>
      </c>
      <c r="R34" s="1"/>
      <c r="S34" s="1">
        <f t="shared" si="3"/>
        <v>589927.431275069</v>
      </c>
      <c r="T34" s="1">
        <v>31</v>
      </c>
      <c r="U34" s="1"/>
      <c r="V34" s="1">
        <f t="shared" si="4"/>
        <v>531347.005014752</v>
      </c>
      <c r="W34" s="1">
        <v>31</v>
      </c>
      <c r="X34" s="1"/>
      <c r="Y34" s="1">
        <f t="shared" si="5"/>
        <v>568587.783505082</v>
      </c>
      <c r="Z34" s="1">
        <v>31</v>
      </c>
      <c r="AA34" s="1"/>
      <c r="AB34" s="1">
        <f t="shared" si="6"/>
        <v>552188.027684596</v>
      </c>
      <c r="AC34" s="1">
        <v>31</v>
      </c>
      <c r="AD34" s="1"/>
      <c r="AE34" s="1">
        <f t="shared" si="7"/>
        <v>569393.408992071</v>
      </c>
      <c r="AF34" s="1">
        <v>31</v>
      </c>
      <c r="AG34" s="1"/>
      <c r="AH34" s="1">
        <f t="shared" si="8"/>
        <v>628332.916856662</v>
      </c>
      <c r="AI34" s="1">
        <v>31</v>
      </c>
    </row>
    <row r="35" s="1" customFormat="1" spans="3:35">
      <c r="C35" s="2">
        <v>32</v>
      </c>
      <c r="D35" s="2">
        <v>1054336</v>
      </c>
      <c r="E35" s="2">
        <v>531718</v>
      </c>
      <c r="F35" s="2">
        <v>522618</v>
      </c>
      <c r="G35" s="3">
        <v>3.23868766358297e-5</v>
      </c>
      <c r="H35" s="3">
        <v>0.61</v>
      </c>
      <c r="I35" s="13" t="s">
        <v>33</v>
      </c>
      <c r="J35" s="3">
        <f t="shared" si="0"/>
        <v>1146965.46673654</v>
      </c>
      <c r="K35" s="1">
        <v>32</v>
      </c>
      <c r="L35" s="1"/>
      <c r="M35" s="1">
        <f t="shared" si="1"/>
        <v>1181586.66014391</v>
      </c>
      <c r="O35" s="1">
        <v>32</v>
      </c>
      <c r="P35" s="1">
        <f t="shared" si="2"/>
        <v>851448.44288889</v>
      </c>
      <c r="Q35" s="1">
        <v>32</v>
      </c>
      <c r="R35" s="1"/>
      <c r="S35" s="1">
        <f t="shared" si="3"/>
        <v>671729.750482593</v>
      </c>
      <c r="T35" s="1">
        <v>32</v>
      </c>
      <c r="U35" s="1"/>
      <c r="V35" s="1">
        <f t="shared" si="4"/>
        <v>589534.97868669</v>
      </c>
      <c r="W35" s="1">
        <v>32</v>
      </c>
      <c r="X35" s="1"/>
      <c r="Y35" s="1">
        <f t="shared" si="5"/>
        <v>530993.523389063</v>
      </c>
      <c r="Z35" s="1">
        <v>32</v>
      </c>
      <c r="AA35" s="1"/>
      <c r="AB35" s="1">
        <f t="shared" si="6"/>
        <v>568209.527239095</v>
      </c>
      <c r="AC35" s="1">
        <v>32</v>
      </c>
      <c r="AD35" s="1"/>
      <c r="AE35" s="1">
        <f t="shared" si="7"/>
        <v>551820.681449707</v>
      </c>
      <c r="AF35" s="1">
        <v>32</v>
      </c>
      <c r="AG35" s="1"/>
      <c r="AH35" s="1">
        <f t="shared" si="8"/>
        <v>569014.616779134</v>
      </c>
      <c r="AI35" s="1">
        <v>32</v>
      </c>
    </row>
    <row r="36" s="1" customFormat="1" spans="3:35">
      <c r="C36" s="2">
        <v>33</v>
      </c>
      <c r="D36" s="2">
        <v>1116672</v>
      </c>
      <c r="E36" s="2">
        <v>563189</v>
      </c>
      <c r="F36" s="2">
        <v>553483</v>
      </c>
      <c r="G36" s="3">
        <v>3.43017010769671e-5</v>
      </c>
      <c r="H36" s="3">
        <v>0.72</v>
      </c>
      <c r="I36" s="13" t="s">
        <v>34</v>
      </c>
      <c r="J36" s="3">
        <f t="shared" si="0"/>
        <v>1053658.70839004</v>
      </c>
      <c r="K36" s="1">
        <v>33</v>
      </c>
      <c r="L36" s="1"/>
      <c r="M36" s="1">
        <f t="shared" si="1"/>
        <v>1146228.67117275</v>
      </c>
      <c r="O36" s="1">
        <v>33</v>
      </c>
      <c r="P36" s="1">
        <f t="shared" si="2"/>
        <v>1180827.62437983</v>
      </c>
      <c r="Q36" s="1">
        <v>33</v>
      </c>
      <c r="R36" s="1"/>
      <c r="S36" s="1">
        <f t="shared" si="3"/>
        <v>850901.483583046</v>
      </c>
      <c r="T36" s="1">
        <v>33</v>
      </c>
      <c r="U36" s="1"/>
      <c r="V36" s="1">
        <f t="shared" si="4"/>
        <v>671298.240106237</v>
      </c>
      <c r="W36" s="1">
        <v>33</v>
      </c>
      <c r="X36" s="1"/>
      <c r="Y36" s="1">
        <f t="shared" si="5"/>
        <v>589156.269153064</v>
      </c>
      <c r="Z36" s="1">
        <v>33</v>
      </c>
      <c r="AA36" s="1"/>
      <c r="AB36" s="1">
        <f t="shared" si="6"/>
        <v>530652.42011806</v>
      </c>
      <c r="AC36" s="1">
        <v>33</v>
      </c>
      <c r="AD36" s="1"/>
      <c r="AE36" s="1">
        <f t="shared" si="7"/>
        <v>567844.516895617</v>
      </c>
      <c r="AF36" s="1">
        <v>33</v>
      </c>
      <c r="AG36" s="1"/>
      <c r="AH36" s="1">
        <f t="shared" si="8"/>
        <v>551466.199085687</v>
      </c>
      <c r="AI36" s="1">
        <v>33</v>
      </c>
    </row>
    <row r="37" s="1" customFormat="1" spans="3:35">
      <c r="C37" s="2">
        <v>34</v>
      </c>
      <c r="D37" s="2">
        <v>946172</v>
      </c>
      <c r="E37" s="2">
        <v>476239</v>
      </c>
      <c r="F37" s="2">
        <v>469933</v>
      </c>
      <c r="G37" s="3">
        <v>2.90643171060044e-5</v>
      </c>
      <c r="H37" s="3">
        <v>0.75</v>
      </c>
      <c r="I37" s="13" t="s">
        <v>35</v>
      </c>
      <c r="J37" s="3">
        <f t="shared" si="0"/>
        <v>1115829.69241085</v>
      </c>
      <c r="K37" s="1">
        <v>34</v>
      </c>
      <c r="L37" s="1"/>
      <c r="M37" s="1">
        <f t="shared" si="1"/>
        <v>1052863.93183394</v>
      </c>
      <c r="O37" s="1">
        <v>34</v>
      </c>
      <c r="P37" s="1">
        <f t="shared" si="2"/>
        <v>1145364.06893626</v>
      </c>
      <c r="Q37" s="1">
        <v>34</v>
      </c>
      <c r="R37" s="1"/>
      <c r="S37" s="1">
        <f t="shared" si="3"/>
        <v>1179936.92409408</v>
      </c>
      <c r="T37" s="1">
        <v>34</v>
      </c>
      <c r="U37" s="1"/>
      <c r="V37" s="1">
        <f t="shared" si="4"/>
        <v>850259.64714653</v>
      </c>
      <c r="W37" s="1">
        <v>34</v>
      </c>
      <c r="X37" s="1"/>
      <c r="Y37" s="1">
        <f t="shared" si="5"/>
        <v>670791.878701795</v>
      </c>
      <c r="Z37" s="1">
        <v>34</v>
      </c>
      <c r="AA37" s="1"/>
      <c r="AB37" s="1">
        <f t="shared" si="6"/>
        <v>588711.867577042</v>
      </c>
      <c r="AC37" s="1">
        <v>34</v>
      </c>
      <c r="AD37" s="1"/>
      <c r="AE37" s="1">
        <f t="shared" si="7"/>
        <v>530252.148094884</v>
      </c>
      <c r="AF37" s="1">
        <v>34</v>
      </c>
      <c r="AG37" s="1"/>
      <c r="AH37" s="1">
        <f t="shared" si="8"/>
        <v>567416.190810576</v>
      </c>
      <c r="AI37" s="1">
        <v>34</v>
      </c>
    </row>
    <row r="38" s="1" customFormat="1" spans="3:35">
      <c r="C38" s="2">
        <v>35</v>
      </c>
      <c r="D38" s="2">
        <v>832768</v>
      </c>
      <c r="E38" s="2">
        <v>421660</v>
      </c>
      <c r="F38" s="2">
        <v>411108</v>
      </c>
      <c r="G38" s="3">
        <v>2.55807963327313e-5</v>
      </c>
      <c r="H38" s="3">
        <v>0.78</v>
      </c>
      <c r="I38" s="13" t="s">
        <v>36</v>
      </c>
      <c r="J38" s="3">
        <f t="shared" si="0"/>
        <v>945434.871156955</v>
      </c>
      <c r="K38" s="1">
        <v>35</v>
      </c>
      <c r="L38" s="1"/>
      <c r="M38" s="1">
        <f t="shared" si="1"/>
        <v>1114960.38931353</v>
      </c>
      <c r="O38" s="1">
        <v>35</v>
      </c>
      <c r="P38" s="1">
        <f t="shared" si="2"/>
        <v>1052043.68311388</v>
      </c>
      <c r="Q38" s="1">
        <v>35</v>
      </c>
      <c r="R38" s="1"/>
      <c r="S38" s="1">
        <f t="shared" si="3"/>
        <v>1144471.75666006</v>
      </c>
      <c r="T38" s="1">
        <v>35</v>
      </c>
      <c r="U38" s="1"/>
      <c r="V38" s="1">
        <f t="shared" si="4"/>
        <v>1179017.67734008</v>
      </c>
      <c r="W38" s="1">
        <v>35</v>
      </c>
      <c r="X38" s="1"/>
      <c r="Y38" s="1">
        <f t="shared" si="5"/>
        <v>849597.240195163</v>
      </c>
      <c r="Z38" s="1">
        <v>35</v>
      </c>
      <c r="AA38" s="1"/>
      <c r="AB38" s="1">
        <f t="shared" si="6"/>
        <v>670269.288684894</v>
      </c>
      <c r="AC38" s="1">
        <v>35</v>
      </c>
      <c r="AD38" s="1"/>
      <c r="AE38" s="1">
        <f t="shared" si="7"/>
        <v>588253.223167956</v>
      </c>
      <c r="AF38" s="1">
        <v>35</v>
      </c>
      <c r="AG38" s="1"/>
      <c r="AH38" s="1">
        <f t="shared" si="8"/>
        <v>529839.047567234</v>
      </c>
      <c r="AI38" s="1">
        <v>35</v>
      </c>
    </row>
    <row r="39" s="1" customFormat="1" spans="3:35">
      <c r="C39" s="2">
        <v>36</v>
      </c>
      <c r="D39" s="2">
        <v>843028</v>
      </c>
      <c r="E39" s="2">
        <v>426428</v>
      </c>
      <c r="F39" s="2">
        <v>416600</v>
      </c>
      <c r="G39" s="3">
        <v>2.58959609048256e-5</v>
      </c>
      <c r="H39" s="3">
        <v>0.84</v>
      </c>
      <c r="I39" s="13" t="s">
        <v>37</v>
      </c>
      <c r="J39" s="3">
        <f t="shared" si="0"/>
        <v>832097.1380914</v>
      </c>
      <c r="K39" s="1">
        <v>36</v>
      </c>
      <c r="L39" s="1"/>
      <c r="M39" s="1">
        <f t="shared" si="1"/>
        <v>944673.246980568</v>
      </c>
      <c r="O39" s="1">
        <v>36</v>
      </c>
      <c r="P39" s="1">
        <f t="shared" si="2"/>
        <v>1114062.19863523</v>
      </c>
      <c r="Q39" s="1">
        <v>36</v>
      </c>
      <c r="R39" s="1"/>
      <c r="S39" s="1">
        <f t="shared" si="3"/>
        <v>1051196.17692586</v>
      </c>
      <c r="T39" s="1">
        <v>36</v>
      </c>
      <c r="U39" s="1"/>
      <c r="V39" s="1">
        <f t="shared" si="4"/>
        <v>1143549.79219095</v>
      </c>
      <c r="W39" s="1">
        <v>36</v>
      </c>
      <c r="X39" s="1"/>
      <c r="Y39" s="1">
        <f t="shared" si="5"/>
        <v>1178067.88334068</v>
      </c>
      <c r="Z39" s="1">
        <v>36</v>
      </c>
      <c r="AA39" s="1"/>
      <c r="AB39" s="1">
        <f t="shared" si="6"/>
        <v>848912.820973845</v>
      </c>
      <c r="AC39" s="1">
        <v>36</v>
      </c>
      <c r="AD39" s="1"/>
      <c r="AE39" s="1">
        <f t="shared" si="7"/>
        <v>669729.332617558</v>
      </c>
      <c r="AF39" s="1">
        <v>36</v>
      </c>
      <c r="AG39" s="1"/>
      <c r="AH39" s="1">
        <f t="shared" si="8"/>
        <v>587779.337667991</v>
      </c>
      <c r="AI39" s="1">
        <v>36</v>
      </c>
    </row>
    <row r="40" s="1" customFormat="1" spans="3:35">
      <c r="C40" s="2">
        <v>37</v>
      </c>
      <c r="D40" s="2">
        <v>838480</v>
      </c>
      <c r="E40" s="2">
        <v>424456</v>
      </c>
      <c r="F40" s="2">
        <v>414024</v>
      </c>
      <c r="G40" s="3">
        <v>2.57562563752072e-5</v>
      </c>
      <c r="H40" s="3">
        <v>0.88</v>
      </c>
      <c r="I40" s="13" t="s">
        <v>38</v>
      </c>
      <c r="J40" s="3">
        <f t="shared" si="0"/>
        <v>842298.02545987</v>
      </c>
      <c r="K40" s="1">
        <v>37</v>
      </c>
      <c r="L40" s="1"/>
      <c r="M40" s="1">
        <f t="shared" si="1"/>
        <v>831376.628540446</v>
      </c>
      <c r="O40" s="1">
        <v>37</v>
      </c>
      <c r="P40" s="1">
        <f t="shared" si="2"/>
        <v>943855.258231633</v>
      </c>
      <c r="Q40" s="1">
        <v>37</v>
      </c>
      <c r="R40" s="1"/>
      <c r="S40" s="1">
        <f t="shared" si="3"/>
        <v>1113097.53667723</v>
      </c>
      <c r="T40" s="1">
        <v>37</v>
      </c>
      <c r="U40" s="1"/>
      <c r="V40" s="1">
        <f t="shared" si="4"/>
        <v>1050285.95040214</v>
      </c>
      <c r="W40" s="1">
        <v>37</v>
      </c>
      <c r="X40" s="1"/>
      <c r="Y40" s="1">
        <f t="shared" si="5"/>
        <v>1142559.5970448</v>
      </c>
      <c r="Z40" s="1">
        <v>37</v>
      </c>
      <c r="AA40" s="1"/>
      <c r="AB40" s="1">
        <f t="shared" si="6"/>
        <v>1177047.79911882</v>
      </c>
      <c r="AC40" s="1">
        <v>37</v>
      </c>
      <c r="AD40" s="1"/>
      <c r="AE40" s="1">
        <f t="shared" si="7"/>
        <v>848177.750791003</v>
      </c>
      <c r="AF40" s="1">
        <v>37</v>
      </c>
      <c r="AG40" s="1"/>
      <c r="AH40" s="1">
        <f t="shared" si="8"/>
        <v>669149.416693545</v>
      </c>
      <c r="AI40" s="1">
        <v>37</v>
      </c>
    </row>
    <row r="41" s="1" customFormat="1" spans="3:35">
      <c r="C41" s="2">
        <v>38</v>
      </c>
      <c r="D41" s="2">
        <v>989303</v>
      </c>
      <c r="E41" s="2">
        <v>502064</v>
      </c>
      <c r="F41" s="2">
        <v>487239</v>
      </c>
      <c r="G41" s="3">
        <v>3.0389206302788e-5</v>
      </c>
      <c r="H41" s="3">
        <v>1.02</v>
      </c>
      <c r="I41" s="13" t="s">
        <v>39</v>
      </c>
      <c r="J41" s="3">
        <f t="shared" si="0"/>
        <v>837720.541494154</v>
      </c>
      <c r="K41" s="1">
        <v>38</v>
      </c>
      <c r="L41" s="1"/>
      <c r="M41" s="1">
        <f t="shared" si="1"/>
        <v>841535.108753578</v>
      </c>
      <c r="O41" s="1">
        <v>38</v>
      </c>
      <c r="P41" s="1">
        <f t="shared" si="2"/>
        <v>830623.603957741</v>
      </c>
      <c r="Q41" s="1">
        <v>38</v>
      </c>
      <c r="R41" s="1"/>
      <c r="S41" s="1">
        <f t="shared" si="3"/>
        <v>943000.355426377</v>
      </c>
      <c r="T41" s="1">
        <v>38</v>
      </c>
      <c r="U41" s="1"/>
      <c r="V41" s="1">
        <f t="shared" si="4"/>
        <v>1112089.34161943</v>
      </c>
      <c r="W41" s="1">
        <v>38</v>
      </c>
      <c r="X41" s="1"/>
      <c r="Y41" s="1">
        <f t="shared" si="5"/>
        <v>1049334.64733158</v>
      </c>
      <c r="Z41" s="1">
        <v>38</v>
      </c>
      <c r="AA41" s="1"/>
      <c r="AB41" s="1">
        <f t="shared" si="6"/>
        <v>1141524.71654149</v>
      </c>
      <c r="AC41" s="1">
        <v>38</v>
      </c>
      <c r="AD41" s="1"/>
      <c r="AE41" s="1">
        <f t="shared" si="7"/>
        <v>1175981.68071072</v>
      </c>
      <c r="AF41" s="1">
        <v>38</v>
      </c>
      <c r="AG41" s="1"/>
      <c r="AH41" s="1">
        <f t="shared" si="8"/>
        <v>847409.508486706</v>
      </c>
      <c r="AI41" s="1">
        <v>38</v>
      </c>
    </row>
    <row r="42" s="1" customFormat="1" spans="3:35">
      <c r="C42" s="2">
        <v>39</v>
      </c>
      <c r="D42" s="2">
        <v>798030</v>
      </c>
      <c r="E42" s="2">
        <v>402598</v>
      </c>
      <c r="F42" s="2">
        <v>395432</v>
      </c>
      <c r="G42" s="3">
        <v>2.45137215856152e-5</v>
      </c>
      <c r="H42" s="3">
        <v>1.16</v>
      </c>
      <c r="I42" s="13" t="s">
        <v>40</v>
      </c>
      <c r="J42" s="3">
        <f t="shared" si="0"/>
        <v>988263.846807037</v>
      </c>
      <c r="K42" s="1">
        <v>39</v>
      </c>
      <c r="L42" s="1"/>
      <c r="M42" s="1">
        <f t="shared" si="1"/>
        <v>836840.608879471</v>
      </c>
      <c r="O42" s="1">
        <v>39</v>
      </c>
      <c r="P42" s="1">
        <f t="shared" si="2"/>
        <v>840651.169358618</v>
      </c>
      <c r="Q42" s="1">
        <v>39</v>
      </c>
      <c r="R42" s="1"/>
      <c r="S42" s="1">
        <f t="shared" si="3"/>
        <v>829751.125889644</v>
      </c>
      <c r="T42" s="1">
        <v>39</v>
      </c>
      <c r="U42" s="1"/>
      <c r="V42" s="1">
        <f t="shared" si="4"/>
        <v>942009.838031497</v>
      </c>
      <c r="W42" s="1">
        <v>39</v>
      </c>
      <c r="X42" s="1"/>
      <c r="Y42" s="1">
        <f t="shared" si="5"/>
        <v>1110921.21497855</v>
      </c>
      <c r="Z42" s="1">
        <v>39</v>
      </c>
      <c r="AA42" s="1"/>
      <c r="AB42" s="1">
        <f t="shared" si="6"/>
        <v>1048232.43754423</v>
      </c>
      <c r="AC42" s="1">
        <v>39</v>
      </c>
      <c r="AD42" s="1"/>
      <c r="AE42" s="1">
        <f t="shared" si="7"/>
        <v>1140325.67130051</v>
      </c>
      <c r="AF42" s="1">
        <v>39</v>
      </c>
      <c r="AG42" s="1"/>
      <c r="AH42" s="1">
        <f t="shared" si="8"/>
        <v>1174746.44224649</v>
      </c>
      <c r="AI42" s="1">
        <v>39</v>
      </c>
    </row>
    <row r="43" s="1" customFormat="1" spans="3:35">
      <c r="C43" s="2">
        <v>40</v>
      </c>
      <c r="D43" s="2">
        <v>727627</v>
      </c>
      <c r="E43" s="2">
        <v>366955</v>
      </c>
      <c r="F43" s="2">
        <v>360672</v>
      </c>
      <c r="G43" s="3">
        <v>2.2351096695834e-5</v>
      </c>
      <c r="H43" s="3">
        <v>1.24</v>
      </c>
      <c r="I43" s="13" t="s">
        <v>41</v>
      </c>
      <c r="J43" s="3">
        <f t="shared" si="0"/>
        <v>797084.722514763</v>
      </c>
      <c r="K43" s="1">
        <v>40</v>
      </c>
      <c r="L43" s="1"/>
      <c r="M43" s="1">
        <f t="shared" si="1"/>
        <v>987093.234719947</v>
      </c>
      <c r="O43" s="1">
        <v>40</v>
      </c>
      <c r="P43" s="1">
        <f t="shared" si="2"/>
        <v>835849.359695473</v>
      </c>
      <c r="Q43" s="1">
        <v>40</v>
      </c>
      <c r="R43" s="1"/>
      <c r="S43" s="1">
        <f t="shared" si="3"/>
        <v>839655.406513446</v>
      </c>
      <c r="T43" s="1">
        <v>40</v>
      </c>
      <c r="U43" s="1"/>
      <c r="V43" s="1">
        <f t="shared" si="4"/>
        <v>828768.274295526</v>
      </c>
      <c r="W43" s="1">
        <v>40</v>
      </c>
      <c r="X43" s="1"/>
      <c r="Y43" s="1">
        <f t="shared" si="5"/>
        <v>940894.01445248</v>
      </c>
      <c r="Z43" s="1">
        <v>40</v>
      </c>
      <c r="AA43" s="1"/>
      <c r="AB43" s="1">
        <f t="shared" si="6"/>
        <v>1109605.31355581</v>
      </c>
      <c r="AC43" s="1">
        <v>40</v>
      </c>
      <c r="AD43" s="1"/>
      <c r="AE43" s="1">
        <f t="shared" si="7"/>
        <v>1046990.79183854</v>
      </c>
      <c r="AF43" s="1">
        <v>40</v>
      </c>
      <c r="AG43" s="1"/>
      <c r="AH43" s="1">
        <f t="shared" si="8"/>
        <v>1138974.93989578</v>
      </c>
      <c r="AI43" s="1">
        <v>40</v>
      </c>
    </row>
    <row r="44" s="1" customFormat="1" spans="3:35">
      <c r="C44" s="2">
        <v>41</v>
      </c>
      <c r="D44" s="2">
        <v>809958</v>
      </c>
      <c r="E44" s="2">
        <v>412601</v>
      </c>
      <c r="F44" s="2">
        <v>397357</v>
      </c>
      <c r="G44" s="3">
        <v>1.19742383887662e-5</v>
      </c>
      <c r="H44" s="3">
        <v>1.43</v>
      </c>
      <c r="I44" s="13" t="s">
        <v>42</v>
      </c>
      <c r="J44" s="3">
        <f t="shared" si="0"/>
        <v>726708.479258565</v>
      </c>
      <c r="K44" s="1">
        <v>41</v>
      </c>
      <c r="L44" s="1"/>
      <c r="M44" s="1">
        <f t="shared" si="1"/>
        <v>796078.521741137</v>
      </c>
      <c r="O44" s="1">
        <v>41</v>
      </c>
      <c r="P44" s="1">
        <f t="shared" si="2"/>
        <v>985847.176492557</v>
      </c>
      <c r="Q44" s="1">
        <v>41</v>
      </c>
      <c r="R44" s="1"/>
      <c r="S44" s="1">
        <f t="shared" si="3"/>
        <v>834794.224339589</v>
      </c>
      <c r="T44" s="1">
        <v>41</v>
      </c>
      <c r="U44" s="1"/>
      <c r="V44" s="1">
        <f t="shared" si="4"/>
        <v>838595.466590187</v>
      </c>
      <c r="W44" s="1">
        <v>41</v>
      </c>
      <c r="X44" s="1"/>
      <c r="Y44" s="1">
        <f t="shared" si="5"/>
        <v>827722.077755562</v>
      </c>
      <c r="Z44" s="1">
        <v>41</v>
      </c>
      <c r="AA44" s="1"/>
      <c r="AB44" s="1">
        <f t="shared" si="6"/>
        <v>939706.275861461</v>
      </c>
      <c r="AC44" s="1">
        <v>41</v>
      </c>
      <c r="AD44" s="1"/>
      <c r="AE44" s="1">
        <f t="shared" si="7"/>
        <v>1108204.60207134</v>
      </c>
      <c r="AF44" s="1">
        <v>41</v>
      </c>
      <c r="AG44" s="1"/>
      <c r="AH44" s="1">
        <f t="shared" si="8"/>
        <v>1045669.12186424</v>
      </c>
      <c r="AI44" s="1">
        <v>41</v>
      </c>
    </row>
    <row r="45" s="1" customFormat="1" spans="3:35">
      <c r="C45" s="2">
        <v>42</v>
      </c>
      <c r="D45" s="2">
        <v>745206</v>
      </c>
      <c r="E45" s="2">
        <v>377467</v>
      </c>
      <c r="F45" s="2">
        <v>367739</v>
      </c>
      <c r="G45" s="3">
        <v>1.10169592654667e-5</v>
      </c>
      <c r="H45" s="3">
        <v>1.47</v>
      </c>
      <c r="I45" s="13" t="s">
        <v>43</v>
      </c>
      <c r="J45" s="3">
        <f t="shared" si="0"/>
        <v>808790.061429823</v>
      </c>
      <c r="K45" s="1">
        <v>42</v>
      </c>
      <c r="L45" s="1"/>
      <c r="M45" s="1">
        <f t="shared" si="1"/>
        <v>725660.584352655</v>
      </c>
      <c r="O45" s="1">
        <v>42</v>
      </c>
      <c r="P45" s="1">
        <f t="shared" si="2"/>
        <v>794930.597021052</v>
      </c>
      <c r="Q45" s="1">
        <v>42</v>
      </c>
      <c r="R45" s="1"/>
      <c r="S45" s="1">
        <f t="shared" si="3"/>
        <v>984425.610261067</v>
      </c>
      <c r="T45" s="1">
        <v>42</v>
      </c>
      <c r="U45" s="1"/>
      <c r="V45" s="1">
        <f t="shared" si="4"/>
        <v>833590.472573736</v>
      </c>
      <c r="W45" s="1">
        <v>42</v>
      </c>
      <c r="X45" s="1"/>
      <c r="Y45" s="1">
        <f t="shared" si="5"/>
        <v>837386.233530934</v>
      </c>
      <c r="Z45" s="1">
        <v>42</v>
      </c>
      <c r="AA45" s="1"/>
      <c r="AB45" s="1">
        <f t="shared" si="6"/>
        <v>826528.523842893</v>
      </c>
      <c r="AC45" s="1">
        <v>42</v>
      </c>
      <c r="AD45" s="1"/>
      <c r="AE45" s="1">
        <f t="shared" si="7"/>
        <v>938351.243620017</v>
      </c>
      <c r="AF45" s="1">
        <v>42</v>
      </c>
      <c r="AG45" s="1"/>
      <c r="AH45" s="1">
        <f t="shared" si="8"/>
        <v>1106606.59958429</v>
      </c>
      <c r="AI45" s="1">
        <v>42</v>
      </c>
    </row>
    <row r="46" s="1" customFormat="1" spans="3:35">
      <c r="C46" s="2">
        <v>43</v>
      </c>
      <c r="D46" s="2">
        <v>742997</v>
      </c>
      <c r="E46" s="2">
        <v>378913</v>
      </c>
      <c r="F46" s="2">
        <v>364084</v>
      </c>
      <c r="G46" s="3">
        <v>1.09843019022445e-5</v>
      </c>
      <c r="H46" s="3">
        <v>1.68</v>
      </c>
      <c r="I46" s="13" t="s">
        <v>44</v>
      </c>
      <c r="J46" s="3">
        <f t="shared" si="0"/>
        <v>744102.337275854</v>
      </c>
      <c r="K46" s="1">
        <v>43</v>
      </c>
      <c r="L46" s="1"/>
      <c r="M46" s="1">
        <f t="shared" si="1"/>
        <v>807592.22963236</v>
      </c>
      <c r="O46" s="1">
        <v>43</v>
      </c>
      <c r="P46" s="1">
        <f t="shared" si="2"/>
        <v>724585.868720558</v>
      </c>
      <c r="Q46" s="1">
        <v>43</v>
      </c>
      <c r="R46" s="1"/>
      <c r="S46" s="1">
        <f t="shared" si="3"/>
        <v>793753.291325425</v>
      </c>
      <c r="T46" s="1">
        <v>43</v>
      </c>
      <c r="U46" s="1"/>
      <c r="V46" s="1">
        <f t="shared" si="4"/>
        <v>982967.659237135</v>
      </c>
      <c r="W46" s="1">
        <v>43</v>
      </c>
      <c r="X46" s="1"/>
      <c r="Y46" s="1">
        <f t="shared" si="5"/>
        <v>832355.910946772</v>
      </c>
      <c r="Z46" s="1">
        <v>43</v>
      </c>
      <c r="AA46" s="1"/>
      <c r="AB46" s="1">
        <f t="shared" si="6"/>
        <v>836146.050317619</v>
      </c>
      <c r="AC46" s="1">
        <v>43</v>
      </c>
      <c r="AD46" s="1"/>
      <c r="AE46" s="1">
        <f t="shared" si="7"/>
        <v>825304.421081765</v>
      </c>
      <c r="AF46" s="1">
        <v>43</v>
      </c>
      <c r="AG46" s="1"/>
      <c r="AH46" s="1">
        <f t="shared" si="8"/>
        <v>936961.529514468</v>
      </c>
      <c r="AI46" s="1">
        <v>43</v>
      </c>
    </row>
    <row r="47" s="1" customFormat="1" spans="3:35">
      <c r="C47" s="2">
        <v>44</v>
      </c>
      <c r="D47" s="2">
        <v>872109</v>
      </c>
      <c r="E47" s="2">
        <v>445582</v>
      </c>
      <c r="F47" s="2">
        <v>426527</v>
      </c>
      <c r="G47" s="3">
        <v>1.28930649082897e-5</v>
      </c>
      <c r="H47" s="3">
        <v>1.78</v>
      </c>
      <c r="I47" s="13" t="s">
        <v>45</v>
      </c>
      <c r="J47" s="3">
        <f t="shared" si="0"/>
        <v>741740.603736639</v>
      </c>
      <c r="K47" s="1">
        <v>44</v>
      </c>
      <c r="L47" s="1"/>
      <c r="M47" s="1">
        <f t="shared" si="1"/>
        <v>742844.071904511</v>
      </c>
      <c r="O47" s="1">
        <v>44</v>
      </c>
      <c r="P47" s="1">
        <f t="shared" si="2"/>
        <v>806226.603849714</v>
      </c>
      <c r="Q47" s="1">
        <v>44</v>
      </c>
      <c r="R47" s="1"/>
      <c r="S47" s="1">
        <f t="shared" si="3"/>
        <v>723360.605391172</v>
      </c>
      <c r="T47" s="1">
        <v>44</v>
      </c>
      <c r="U47" s="1"/>
      <c r="V47" s="1">
        <f t="shared" si="4"/>
        <v>792411.06697021</v>
      </c>
      <c r="W47" s="1">
        <v>44</v>
      </c>
      <c r="X47" s="1"/>
      <c r="Y47" s="1">
        <f t="shared" si="5"/>
        <v>981305.476356087</v>
      </c>
      <c r="Z47" s="1">
        <v>44</v>
      </c>
      <c r="AA47" s="1"/>
      <c r="AB47" s="1">
        <f t="shared" si="6"/>
        <v>830948.410167765</v>
      </c>
      <c r="AC47" s="1">
        <v>44</v>
      </c>
      <c r="AD47" s="1"/>
      <c r="AE47" s="1">
        <f t="shared" si="7"/>
        <v>834732.140472435</v>
      </c>
      <c r="AF47" s="1">
        <v>44</v>
      </c>
      <c r="AG47" s="1"/>
      <c r="AH47" s="1">
        <f t="shared" si="8"/>
        <v>823908.844261426</v>
      </c>
      <c r="AI47" s="1">
        <v>44</v>
      </c>
    </row>
    <row r="48" s="1" customFormat="1" spans="3:35">
      <c r="C48" s="2">
        <v>45</v>
      </c>
      <c r="D48" s="2">
        <v>946745</v>
      </c>
      <c r="E48" s="2">
        <v>484933</v>
      </c>
      <c r="F48" s="2">
        <v>461812</v>
      </c>
      <c r="G48" s="3">
        <v>1.39964668826933e-5</v>
      </c>
      <c r="H48" s="3">
        <v>2.02</v>
      </c>
      <c r="I48" s="13" t="s">
        <v>46</v>
      </c>
      <c r="J48" s="3">
        <f t="shared" si="0"/>
        <v>870545.401822056</v>
      </c>
      <c r="K48" s="1">
        <v>45</v>
      </c>
      <c r="L48" s="1"/>
      <c r="M48" s="1">
        <f t="shared" si="1"/>
        <v>740410.742152239</v>
      </c>
      <c r="O48" s="1">
        <v>45</v>
      </c>
      <c r="P48" s="1">
        <f t="shared" si="2"/>
        <v>741512.231919686</v>
      </c>
      <c r="Q48" s="1">
        <v>45</v>
      </c>
      <c r="R48" s="1"/>
      <c r="S48" s="1">
        <f t="shared" si="3"/>
        <v>804781.125762927</v>
      </c>
      <c r="T48" s="1">
        <v>45</v>
      </c>
      <c r="U48" s="1"/>
      <c r="V48" s="1">
        <f t="shared" si="4"/>
        <v>722063.697178338</v>
      </c>
      <c r="W48" s="1">
        <v>45</v>
      </c>
      <c r="X48" s="1"/>
      <c r="Y48" s="1">
        <f t="shared" si="5"/>
        <v>790990.358663683</v>
      </c>
      <c r="Z48" s="1">
        <v>45</v>
      </c>
      <c r="AA48" s="1"/>
      <c r="AB48" s="1">
        <f t="shared" si="6"/>
        <v>979546.100572972</v>
      </c>
      <c r="AC48" s="1">
        <v>45</v>
      </c>
      <c r="AD48" s="1"/>
      <c r="AE48" s="1">
        <f t="shared" si="7"/>
        <v>829458.608525879</v>
      </c>
      <c r="AF48" s="1">
        <v>45</v>
      </c>
      <c r="AG48" s="1"/>
      <c r="AH48" s="1">
        <f t="shared" si="8"/>
        <v>833235.555006726</v>
      </c>
      <c r="AI48" s="1">
        <v>45</v>
      </c>
    </row>
    <row r="49" s="1" customFormat="1" spans="3:35">
      <c r="C49" s="2">
        <v>46</v>
      </c>
      <c r="D49" s="2">
        <v>1069633</v>
      </c>
      <c r="E49" s="2">
        <v>546855</v>
      </c>
      <c r="F49" s="2">
        <v>522778</v>
      </c>
      <c r="G49" s="3">
        <v>1.58132156611715e-5</v>
      </c>
      <c r="H49" s="3">
        <v>2.11</v>
      </c>
      <c r="I49" s="13" t="s">
        <v>47</v>
      </c>
      <c r="J49" s="3">
        <f t="shared" si="0"/>
        <v>944819.324014961</v>
      </c>
      <c r="K49" s="1">
        <v>46</v>
      </c>
      <c r="L49" s="1"/>
      <c r="M49" s="1">
        <f t="shared" si="1"/>
        <v>868774.715550489</v>
      </c>
      <c r="O49" s="1">
        <v>46</v>
      </c>
      <c r="P49" s="1">
        <f t="shared" si="2"/>
        <v>738904.74931866</v>
      </c>
      <c r="Q49" s="1">
        <v>46</v>
      </c>
      <c r="R49" s="1"/>
      <c r="S49" s="1">
        <f t="shared" si="3"/>
        <v>740003.998659811</v>
      </c>
      <c r="T49" s="1">
        <v>46</v>
      </c>
      <c r="U49" s="1"/>
      <c r="V49" s="1">
        <f t="shared" si="4"/>
        <v>803144.203796511</v>
      </c>
      <c r="W49" s="1">
        <v>46</v>
      </c>
      <c r="X49" s="1"/>
      <c r="Y49" s="1">
        <f t="shared" si="5"/>
        <v>720595.022169413</v>
      </c>
      <c r="Z49" s="1">
        <v>46</v>
      </c>
      <c r="AA49" s="1"/>
      <c r="AB49" s="1">
        <f t="shared" si="6"/>
        <v>789381.487068822</v>
      </c>
      <c r="AC49" s="1">
        <v>46</v>
      </c>
      <c r="AD49" s="1"/>
      <c r="AE49" s="1">
        <f t="shared" si="7"/>
        <v>977553.707265258</v>
      </c>
      <c r="AF49" s="1">
        <v>46</v>
      </c>
      <c r="AG49" s="1"/>
      <c r="AH49" s="1">
        <f t="shared" si="8"/>
        <v>827771.492646712</v>
      </c>
      <c r="AI49" s="1">
        <v>46</v>
      </c>
    </row>
    <row r="50" s="1" customFormat="1" spans="3:35">
      <c r="C50" s="2">
        <v>47</v>
      </c>
      <c r="D50" s="2">
        <v>1068435</v>
      </c>
      <c r="E50" s="2">
        <v>550835</v>
      </c>
      <c r="F50" s="2">
        <v>517600</v>
      </c>
      <c r="G50" s="3">
        <v>1.57955046964181e-5</v>
      </c>
      <c r="H50" s="3">
        <v>2.3</v>
      </c>
      <c r="I50" s="13" t="s">
        <v>48</v>
      </c>
      <c r="J50" s="3">
        <f t="shared" si="0"/>
        <v>1067359.16003269</v>
      </c>
      <c r="K50" s="1">
        <v>47</v>
      </c>
      <c r="L50" s="1"/>
      <c r="M50" s="1">
        <f t="shared" si="1"/>
        <v>942810.814609558</v>
      </c>
      <c r="O50" s="1">
        <v>47</v>
      </c>
      <c r="P50" s="1">
        <f t="shared" si="2"/>
        <v>866927.862778739</v>
      </c>
      <c r="Q50" s="1">
        <v>47</v>
      </c>
      <c r="R50" s="1"/>
      <c r="S50" s="1">
        <f t="shared" si="3"/>
        <v>737333.975837443</v>
      </c>
      <c r="T50" s="1">
        <v>47</v>
      </c>
      <c r="U50" s="1"/>
      <c r="V50" s="1">
        <f t="shared" si="4"/>
        <v>738430.888379818</v>
      </c>
      <c r="W50" s="1">
        <v>47</v>
      </c>
      <c r="X50" s="1"/>
      <c r="Y50" s="1">
        <f t="shared" si="5"/>
        <v>801436.869233999</v>
      </c>
      <c r="Z50" s="1">
        <v>47</v>
      </c>
      <c r="AA50" s="1"/>
      <c r="AB50" s="1">
        <f t="shared" si="6"/>
        <v>719063.171748145</v>
      </c>
      <c r="AC50" s="1">
        <v>47</v>
      </c>
      <c r="AD50" s="1"/>
      <c r="AE50" s="1">
        <f t="shared" si="7"/>
        <v>787703.409471413</v>
      </c>
      <c r="AF50" s="1">
        <v>47</v>
      </c>
      <c r="AG50" s="1"/>
      <c r="AH50" s="1">
        <f t="shared" si="8"/>
        <v>975475.610675335</v>
      </c>
      <c r="AI50" s="1">
        <v>47</v>
      </c>
    </row>
    <row r="51" s="1" customFormat="1" spans="3:35">
      <c r="C51" s="2">
        <v>48</v>
      </c>
      <c r="D51" s="2">
        <v>1075970</v>
      </c>
      <c r="E51" s="2">
        <v>553237</v>
      </c>
      <c r="F51" s="2">
        <v>522733</v>
      </c>
      <c r="G51" s="3">
        <v>1.59069004555308e-5</v>
      </c>
      <c r="H51" s="3">
        <v>2.53</v>
      </c>
      <c r="I51" s="13" t="s">
        <v>49</v>
      </c>
      <c r="J51" s="3">
        <f t="shared" si="0"/>
        <v>1065960.72302994</v>
      </c>
      <c r="K51" s="1">
        <v>48</v>
      </c>
      <c r="L51" s="1"/>
      <c r="M51" s="1">
        <f t="shared" si="1"/>
        <v>1064887.37448799</v>
      </c>
      <c r="O51" s="1">
        <v>48</v>
      </c>
      <c r="P51" s="1">
        <f t="shared" si="2"/>
        <v>940627.457563306</v>
      </c>
      <c r="Q51" s="1">
        <v>48</v>
      </c>
      <c r="R51" s="1"/>
      <c r="S51" s="1">
        <f t="shared" si="3"/>
        <v>864920.23513122</v>
      </c>
      <c r="T51" s="1">
        <v>48</v>
      </c>
      <c r="U51" s="1"/>
      <c r="V51" s="1">
        <f t="shared" si="4"/>
        <v>735626.461130739</v>
      </c>
      <c r="W51" s="1">
        <v>48</v>
      </c>
      <c r="X51" s="1"/>
      <c r="Y51" s="1">
        <f t="shared" si="5"/>
        <v>736720.833447979</v>
      </c>
      <c r="Z51" s="1">
        <v>48</v>
      </c>
      <c r="AA51" s="1"/>
      <c r="AB51" s="1">
        <f t="shared" si="6"/>
        <v>799580.905334929</v>
      </c>
      <c r="AC51" s="1">
        <v>48</v>
      </c>
      <c r="AD51" s="1"/>
      <c r="AE51" s="1">
        <f t="shared" si="7"/>
        <v>717397.968487418</v>
      </c>
      <c r="AF51" s="1">
        <v>48</v>
      </c>
      <c r="AG51" s="1"/>
      <c r="AH51" s="1">
        <f t="shared" si="8"/>
        <v>785879.249456725</v>
      </c>
      <c r="AI51" s="1">
        <v>48</v>
      </c>
    </row>
    <row r="52" s="1" customFormat="1" spans="3:35">
      <c r="C52" s="2">
        <v>49</v>
      </c>
      <c r="D52" s="2">
        <v>1079435</v>
      </c>
      <c r="E52" s="2">
        <v>554735</v>
      </c>
      <c r="F52" s="2">
        <v>524700</v>
      </c>
      <c r="G52" s="3">
        <v>1.5958126242568e-5</v>
      </c>
      <c r="H52" s="3">
        <v>2.81</v>
      </c>
      <c r="I52" s="13" t="s">
        <v>50</v>
      </c>
      <c r="J52" s="3">
        <f t="shared" si="0"/>
        <v>1073230.68055232</v>
      </c>
      <c r="K52" s="1">
        <v>49</v>
      </c>
      <c r="L52" s="1"/>
      <c r="M52" s="1">
        <f t="shared" si="1"/>
        <v>1063246.88626956</v>
      </c>
      <c r="O52" s="1">
        <v>49</v>
      </c>
      <c r="P52" s="1">
        <f t="shared" si="2"/>
        <v>1062176.27037308</v>
      </c>
      <c r="Q52" s="1">
        <v>49</v>
      </c>
      <c r="R52" s="1"/>
      <c r="S52" s="1">
        <f t="shared" si="3"/>
        <v>938232.707628338</v>
      </c>
      <c r="T52" s="1">
        <v>49</v>
      </c>
      <c r="U52" s="1"/>
      <c r="V52" s="1">
        <f t="shared" si="4"/>
        <v>862718.228736256</v>
      </c>
      <c r="W52" s="1">
        <v>49</v>
      </c>
      <c r="X52" s="1"/>
      <c r="Y52" s="1">
        <f t="shared" si="5"/>
        <v>733753.624647188</v>
      </c>
      <c r="Z52" s="1">
        <v>49</v>
      </c>
      <c r="AA52" s="1"/>
      <c r="AB52" s="1">
        <f t="shared" si="6"/>
        <v>734845.210794394</v>
      </c>
      <c r="AC52" s="1">
        <v>49</v>
      </c>
      <c r="AD52" s="1"/>
      <c r="AE52" s="1">
        <f t="shared" si="7"/>
        <v>797545.246790564</v>
      </c>
      <c r="AF52" s="1">
        <v>49</v>
      </c>
      <c r="AG52" s="1"/>
      <c r="AH52" s="1">
        <f t="shared" si="8"/>
        <v>715571.540049074</v>
      </c>
      <c r="AI52" s="1">
        <v>49</v>
      </c>
    </row>
    <row r="53" s="1" customFormat="1" spans="3:35">
      <c r="C53" s="2">
        <v>50</v>
      </c>
      <c r="D53" s="2">
        <v>1245219</v>
      </c>
      <c r="E53" s="2">
        <v>622414</v>
      </c>
      <c r="F53" s="2">
        <v>622805</v>
      </c>
      <c r="G53" s="3">
        <v>1.84090399159229e-5</v>
      </c>
      <c r="H53" s="3">
        <v>3.01</v>
      </c>
      <c r="I53" s="13" t="s">
        <v>51</v>
      </c>
      <c r="J53" s="3">
        <f t="shared" si="0"/>
        <v>1076384.56189</v>
      </c>
      <c r="K53" s="1">
        <v>50</v>
      </c>
      <c r="L53" s="1"/>
      <c r="M53" s="1">
        <f t="shared" si="1"/>
        <v>1070197.77558928</v>
      </c>
      <c r="O53" s="1">
        <v>50</v>
      </c>
      <c r="P53" s="1">
        <f t="shared" si="2"/>
        <v>1060242.19509111</v>
      </c>
      <c r="Q53" s="1">
        <v>50</v>
      </c>
      <c r="R53" s="1"/>
      <c r="S53" s="1">
        <f t="shared" si="3"/>
        <v>1059174.60471031</v>
      </c>
      <c r="T53" s="1">
        <v>50</v>
      </c>
      <c r="U53" s="1"/>
      <c r="V53" s="1">
        <f t="shared" si="4"/>
        <v>935581.301283909</v>
      </c>
      <c r="W53" s="1">
        <v>50</v>
      </c>
      <c r="X53" s="1"/>
      <c r="Y53" s="1">
        <f t="shared" si="5"/>
        <v>860280.223147101</v>
      </c>
      <c r="Z53" s="1">
        <v>50</v>
      </c>
      <c r="AA53" s="1"/>
      <c r="AB53" s="1">
        <f t="shared" si="6"/>
        <v>731680.067628957</v>
      </c>
      <c r="AC53" s="1">
        <v>50</v>
      </c>
      <c r="AD53" s="1"/>
      <c r="AE53" s="1">
        <f t="shared" si="7"/>
        <v>732768.568999419</v>
      </c>
      <c r="AF53" s="1">
        <v>50</v>
      </c>
      <c r="AG53" s="1"/>
      <c r="AH53" s="1">
        <f t="shared" si="8"/>
        <v>795291.417319351</v>
      </c>
      <c r="AI53" s="1">
        <v>50</v>
      </c>
    </row>
    <row r="54" s="1" customFormat="1" spans="3:35">
      <c r="C54" s="2">
        <v>51</v>
      </c>
      <c r="D54" s="2">
        <v>1212629</v>
      </c>
      <c r="E54" s="2">
        <v>609367</v>
      </c>
      <c r="F54" s="2">
        <v>603262</v>
      </c>
      <c r="G54" s="3">
        <v>2.76346276808133e-6</v>
      </c>
      <c r="H54" s="3">
        <v>3.23</v>
      </c>
      <c r="I54" s="13" t="s">
        <v>52</v>
      </c>
      <c r="J54" s="3">
        <f t="shared" si="0"/>
        <v>1241447.96752373</v>
      </c>
      <c r="K54" s="1">
        <v>51</v>
      </c>
      <c r="L54" s="1"/>
      <c r="M54" s="1">
        <f t="shared" si="1"/>
        <v>1073124.82915235</v>
      </c>
      <c r="O54" s="1">
        <v>51</v>
      </c>
      <c r="P54" s="1">
        <f t="shared" si="2"/>
        <v>1066956.77897118</v>
      </c>
      <c r="Q54" s="1">
        <v>51</v>
      </c>
      <c r="R54" s="1"/>
      <c r="S54" s="1">
        <f t="shared" si="3"/>
        <v>1057031.34804299</v>
      </c>
      <c r="T54" s="1">
        <v>51</v>
      </c>
      <c r="U54" s="1"/>
      <c r="V54" s="1">
        <f t="shared" si="4"/>
        <v>1055966.99076256</v>
      </c>
      <c r="W54" s="1">
        <v>51</v>
      </c>
      <c r="X54" s="1"/>
      <c r="Y54" s="1">
        <f t="shared" si="5"/>
        <v>932747.978413525</v>
      </c>
      <c r="Z54" s="1">
        <v>51</v>
      </c>
      <c r="AA54" s="1"/>
      <c r="AB54" s="1">
        <f t="shared" si="6"/>
        <v>857674.942742462</v>
      </c>
      <c r="AC54" s="1">
        <v>51</v>
      </c>
      <c r="AD54" s="1"/>
      <c r="AE54" s="1">
        <f t="shared" si="7"/>
        <v>729464.241097823</v>
      </c>
      <c r="AF54" s="1">
        <v>51</v>
      </c>
      <c r="AG54" s="1"/>
      <c r="AH54" s="1">
        <f t="shared" si="8"/>
        <v>730549.446040895</v>
      </c>
      <c r="AI54" s="1">
        <v>51</v>
      </c>
    </row>
    <row r="55" s="1" customFormat="1" spans="3:35">
      <c r="C55" s="2">
        <v>52</v>
      </c>
      <c r="D55" s="2">
        <v>1403036</v>
      </c>
      <c r="E55" s="2">
        <v>702847</v>
      </c>
      <c r="F55" s="2">
        <v>700189</v>
      </c>
      <c r="G55" s="3">
        <v>3.19738167920919e-6</v>
      </c>
      <c r="H55" s="3">
        <v>3.63</v>
      </c>
      <c r="I55" s="13" t="s">
        <v>53</v>
      </c>
      <c r="J55" s="3">
        <f t="shared" si="0"/>
        <v>1208708.85727491</v>
      </c>
      <c r="K55" s="1">
        <v>52</v>
      </c>
      <c r="L55" s="1"/>
      <c r="M55" s="1">
        <f t="shared" si="1"/>
        <v>1237434.65989339</v>
      </c>
      <c r="O55" s="1">
        <v>52</v>
      </c>
      <c r="P55" s="1">
        <f t="shared" si="2"/>
        <v>1069655.67041367</v>
      </c>
      <c r="Q55" s="1">
        <v>52</v>
      </c>
      <c r="R55" s="1"/>
      <c r="S55" s="1">
        <f t="shared" si="3"/>
        <v>1063507.56007977</v>
      </c>
      <c r="T55" s="1">
        <v>52</v>
      </c>
      <c r="U55" s="1"/>
      <c r="V55" s="1">
        <f t="shared" si="4"/>
        <v>1053614.21572204</v>
      </c>
      <c r="W55" s="1">
        <v>52</v>
      </c>
      <c r="X55" s="1"/>
      <c r="Y55" s="1">
        <f t="shared" si="5"/>
        <v>1052553.29925693</v>
      </c>
      <c r="Z55" s="1">
        <v>52</v>
      </c>
      <c r="AA55" s="1"/>
      <c r="AB55" s="1">
        <f t="shared" si="6"/>
        <v>929732.624828939</v>
      </c>
      <c r="AC55" s="1">
        <v>52</v>
      </c>
      <c r="AD55" s="1"/>
      <c r="AE55" s="1">
        <f t="shared" si="7"/>
        <v>854902.282524632</v>
      </c>
      <c r="AF55" s="1">
        <v>52</v>
      </c>
      <c r="AG55" s="1"/>
      <c r="AH55" s="1">
        <f t="shared" si="8"/>
        <v>727106.055751806</v>
      </c>
      <c r="AI55" s="1">
        <v>52</v>
      </c>
    </row>
    <row r="56" s="1" customFormat="1" spans="3:35">
      <c r="C56" s="2">
        <v>53</v>
      </c>
      <c r="D56" s="2">
        <v>1045370</v>
      </c>
      <c r="E56" s="2">
        <v>519183</v>
      </c>
      <c r="F56" s="2">
        <v>526187</v>
      </c>
      <c r="G56" s="3">
        <v>2.38229588263944e-6</v>
      </c>
      <c r="H56" s="3">
        <v>3.87</v>
      </c>
      <c r="I56" s="13" t="s">
        <v>54</v>
      </c>
      <c r="J56" s="3">
        <f t="shared" si="0"/>
        <v>1397938.4932784</v>
      </c>
      <c r="K56" s="1">
        <v>53</v>
      </c>
      <c r="L56" s="1"/>
      <c r="M56" s="1">
        <f t="shared" si="1"/>
        <v>1204317.37941944</v>
      </c>
      <c r="O56" s="1">
        <v>53</v>
      </c>
      <c r="P56" s="1">
        <f t="shared" si="2"/>
        <v>1232938.81552706</v>
      </c>
      <c r="Q56" s="1">
        <v>53</v>
      </c>
      <c r="R56" s="1"/>
      <c r="S56" s="1">
        <f t="shared" si="3"/>
        <v>1065769.40023263</v>
      </c>
      <c r="T56" s="1">
        <v>53</v>
      </c>
      <c r="U56" s="1"/>
      <c r="V56" s="1">
        <f t="shared" si="4"/>
        <v>1059643.6271971</v>
      </c>
      <c r="W56" s="1">
        <v>53</v>
      </c>
      <c r="X56" s="1"/>
      <c r="Y56" s="1">
        <f t="shared" si="5"/>
        <v>1049786.22731218</v>
      </c>
      <c r="Z56" s="1">
        <v>53</v>
      </c>
      <c r="AA56" s="1"/>
      <c r="AB56" s="1">
        <f t="shared" si="6"/>
        <v>1048729.16536599</v>
      </c>
      <c r="AC56" s="1">
        <v>53</v>
      </c>
      <c r="AD56" s="1"/>
      <c r="AE56" s="1">
        <f t="shared" si="7"/>
        <v>926354.722690748</v>
      </c>
      <c r="AF56" s="1">
        <v>53</v>
      </c>
      <c r="AG56" s="1"/>
      <c r="AH56" s="1">
        <f t="shared" si="8"/>
        <v>851796.253790172</v>
      </c>
      <c r="AI56" s="1">
        <v>53</v>
      </c>
    </row>
    <row r="57" s="1" customFormat="1" spans="3:35">
      <c r="C57" s="2">
        <v>54</v>
      </c>
      <c r="D57" s="2">
        <v>1202259</v>
      </c>
      <c r="E57" s="2">
        <v>601181</v>
      </c>
      <c r="F57" s="2">
        <v>601078</v>
      </c>
      <c r="G57" s="3">
        <v>2.73983055336025e-6</v>
      </c>
      <c r="H57" s="3">
        <v>4.1</v>
      </c>
      <c r="I57" s="13" t="s">
        <v>55</v>
      </c>
      <c r="J57" s="3">
        <f t="shared" si="0"/>
        <v>1041321.92771935</v>
      </c>
      <c r="K57" s="1">
        <v>54</v>
      </c>
      <c r="L57" s="1"/>
      <c r="M57" s="1">
        <f t="shared" si="1"/>
        <v>1392525.14100629</v>
      </c>
      <c r="O57" s="1">
        <v>54</v>
      </c>
      <c r="P57" s="1">
        <f t="shared" si="2"/>
        <v>1199653.80212076</v>
      </c>
      <c r="Q57" s="1">
        <v>54</v>
      </c>
      <c r="R57" s="1"/>
      <c r="S57" s="1">
        <f t="shared" si="3"/>
        <v>1228164.40508591</v>
      </c>
      <c r="T57" s="1">
        <v>54</v>
      </c>
      <c r="U57" s="1"/>
      <c r="V57" s="1">
        <f t="shared" si="4"/>
        <v>1061642.33367567</v>
      </c>
      <c r="W57" s="1">
        <v>54</v>
      </c>
      <c r="X57" s="1"/>
      <c r="Y57" s="1">
        <f t="shared" si="5"/>
        <v>1055540.28197519</v>
      </c>
      <c r="Z57" s="1">
        <v>54</v>
      </c>
      <c r="AA57" s="1"/>
      <c r="AB57" s="1">
        <f t="shared" si="6"/>
        <v>1045721.05371107</v>
      </c>
      <c r="AC57" s="1">
        <v>54</v>
      </c>
      <c r="AD57" s="1"/>
      <c r="AE57" s="1">
        <f t="shared" si="7"/>
        <v>1044668.08511286</v>
      </c>
      <c r="AF57" s="1">
        <v>54</v>
      </c>
      <c r="AG57" s="1"/>
      <c r="AH57" s="1">
        <f t="shared" si="8"/>
        <v>922767.523062893</v>
      </c>
      <c r="AI57" s="1">
        <v>54</v>
      </c>
    </row>
    <row r="58" s="1" customFormat="1" spans="3:35">
      <c r="C58" s="2">
        <v>55</v>
      </c>
      <c r="D58" s="2">
        <v>1204074</v>
      </c>
      <c r="E58" s="2">
        <v>604184</v>
      </c>
      <c r="F58" s="2">
        <v>599890</v>
      </c>
      <c r="G58" s="3">
        <v>2.74396676066196e-6</v>
      </c>
      <c r="H58" s="3">
        <v>4.55</v>
      </c>
      <c r="I58" s="13" t="s">
        <v>56</v>
      </c>
      <c r="J58" s="3">
        <f t="shared" si="0"/>
        <v>1197326.44411406</v>
      </c>
      <c r="K58" s="1">
        <v>55</v>
      </c>
      <c r="L58" s="1"/>
      <c r="M58" s="1">
        <f t="shared" si="1"/>
        <v>1037049.65477007</v>
      </c>
      <c r="O58" s="1">
        <v>55</v>
      </c>
      <c r="P58" s="1">
        <f t="shared" si="2"/>
        <v>1386811.97264524</v>
      </c>
      <c r="Q58" s="1">
        <v>55</v>
      </c>
      <c r="R58" s="1"/>
      <c r="S58" s="1">
        <f t="shared" si="3"/>
        <v>1194731.93468392</v>
      </c>
      <c r="T58" s="1">
        <v>55</v>
      </c>
      <c r="U58" s="1"/>
      <c r="V58" s="1">
        <f t="shared" si="4"/>
        <v>1223125.5660627</v>
      </c>
      <c r="W58" s="1">
        <v>55</v>
      </c>
      <c r="X58" s="1"/>
      <c r="Y58" s="1">
        <f t="shared" si="5"/>
        <v>1057286.6913875</v>
      </c>
      <c r="Z58" s="1">
        <v>55</v>
      </c>
      <c r="AA58" s="1"/>
      <c r="AB58" s="1">
        <f t="shared" si="6"/>
        <v>1051209.67481758</v>
      </c>
      <c r="AC58" s="1">
        <v>55</v>
      </c>
      <c r="AD58" s="1"/>
      <c r="AE58" s="1">
        <f t="shared" si="7"/>
        <v>1041430.73229236</v>
      </c>
      <c r="AF58" s="1">
        <v>55</v>
      </c>
      <c r="AG58" s="1"/>
      <c r="AH58" s="1">
        <f t="shared" si="8"/>
        <v>1040382.08375036</v>
      </c>
      <c r="AI58" s="1">
        <v>55</v>
      </c>
    </row>
    <row r="59" s="1" customFormat="1" spans="3:35">
      <c r="C59" s="2">
        <v>56</v>
      </c>
      <c r="D59" s="2">
        <v>1180701</v>
      </c>
      <c r="E59" s="2">
        <v>586783</v>
      </c>
      <c r="F59" s="2">
        <v>593918</v>
      </c>
      <c r="G59" s="3">
        <v>2.69070198200471e-6</v>
      </c>
      <c r="H59" s="3">
        <v>5.02</v>
      </c>
      <c r="I59" s="13" t="s">
        <v>57</v>
      </c>
      <c r="J59" s="3">
        <f t="shared" si="0"/>
        <v>1198592.15936097</v>
      </c>
      <c r="K59" s="1">
        <v>56</v>
      </c>
      <c r="L59" s="1"/>
      <c r="M59" s="1">
        <f t="shared" si="1"/>
        <v>1191875.32336938</v>
      </c>
      <c r="O59" s="1">
        <v>56</v>
      </c>
      <c r="P59" s="1">
        <f t="shared" si="2"/>
        <v>1032328.23321108</v>
      </c>
      <c r="Q59" s="1">
        <v>56</v>
      </c>
      <c r="R59" s="1"/>
      <c r="S59" s="1">
        <f t="shared" si="3"/>
        <v>1380498.17280375</v>
      </c>
      <c r="T59" s="1">
        <v>56</v>
      </c>
      <c r="U59" s="1"/>
      <c r="V59" s="1">
        <f t="shared" si="4"/>
        <v>1189292.62607639</v>
      </c>
      <c r="W59" s="1">
        <v>56</v>
      </c>
      <c r="X59" s="1"/>
      <c r="Y59" s="1">
        <f t="shared" si="5"/>
        <v>1217556.98852121</v>
      </c>
      <c r="Z59" s="1">
        <v>56</v>
      </c>
      <c r="AA59" s="1"/>
      <c r="AB59" s="1">
        <f t="shared" si="6"/>
        <v>1052473.13578215</v>
      </c>
      <c r="AC59" s="1">
        <v>56</v>
      </c>
      <c r="AD59" s="1"/>
      <c r="AE59" s="1">
        <f t="shared" si="7"/>
        <v>1046423.78631275</v>
      </c>
      <c r="AF59" s="1">
        <v>56</v>
      </c>
      <c r="AG59" s="1"/>
      <c r="AH59" s="1">
        <f t="shared" si="8"/>
        <v>1036689.36480912</v>
      </c>
      <c r="AI59" s="1">
        <v>56</v>
      </c>
    </row>
    <row r="60" s="1" customFormat="1" spans="3:35">
      <c r="C60" s="2">
        <v>57</v>
      </c>
      <c r="D60" s="2">
        <v>1394954</v>
      </c>
      <c r="E60" s="2">
        <v>703449</v>
      </c>
      <c r="F60" s="2">
        <v>691505</v>
      </c>
      <c r="G60" s="3">
        <v>3.17896359248057e-6</v>
      </c>
      <c r="H60" s="3">
        <v>5.23</v>
      </c>
      <c r="I60" s="13" t="s">
        <v>58</v>
      </c>
      <c r="J60" s="3">
        <f t="shared" si="0"/>
        <v>1174770.70406548</v>
      </c>
      <c r="K60" s="1">
        <v>57</v>
      </c>
      <c r="L60" s="1"/>
      <c r="M60" s="1">
        <f t="shared" si="1"/>
        <v>1192572.00166668</v>
      </c>
      <c r="O60" s="1">
        <v>57</v>
      </c>
      <c r="P60" s="1">
        <f t="shared" si="2"/>
        <v>1185888.90226477</v>
      </c>
      <c r="Q60" s="1">
        <v>57</v>
      </c>
      <c r="R60" s="1"/>
      <c r="S60" s="1">
        <f t="shared" si="3"/>
        <v>1027143.16779274</v>
      </c>
      <c r="T60" s="1">
        <v>57</v>
      </c>
      <c r="U60" s="1"/>
      <c r="V60" s="1">
        <f t="shared" si="4"/>
        <v>1373564.3574671</v>
      </c>
      <c r="W60" s="1">
        <v>57</v>
      </c>
      <c r="X60" s="1"/>
      <c r="Y60" s="1">
        <f t="shared" si="5"/>
        <v>1183319.17706146</v>
      </c>
      <c r="Z60" s="1">
        <v>57</v>
      </c>
      <c r="AA60" s="1"/>
      <c r="AB60" s="1">
        <f t="shared" si="6"/>
        <v>1211441.57635583</v>
      </c>
      <c r="AC60" s="1">
        <v>57</v>
      </c>
      <c r="AD60" s="1"/>
      <c r="AE60" s="1">
        <f t="shared" si="7"/>
        <v>1047186.88874897</v>
      </c>
      <c r="AF60" s="1">
        <v>57</v>
      </c>
      <c r="AG60" s="1"/>
      <c r="AH60" s="1">
        <f t="shared" si="8"/>
        <v>1041167.92329091</v>
      </c>
      <c r="AI60" s="1">
        <v>57</v>
      </c>
    </row>
    <row r="61" s="1" customFormat="1" spans="3:35">
      <c r="C61" s="2">
        <v>58</v>
      </c>
      <c r="D61" s="2">
        <v>981287</v>
      </c>
      <c r="E61" s="2">
        <v>491394</v>
      </c>
      <c r="F61" s="2">
        <v>489893</v>
      </c>
      <c r="G61" s="3">
        <v>2.23625699971073e-6</v>
      </c>
      <c r="H61" s="3">
        <v>6.32</v>
      </c>
      <c r="I61" s="13" t="s">
        <v>59</v>
      </c>
      <c r="J61" s="3">
        <f t="shared" si="0"/>
        <v>1387653.95607202</v>
      </c>
      <c r="K61" s="1">
        <v>58</v>
      </c>
      <c r="L61" s="1"/>
      <c r="M61" s="1">
        <f t="shared" si="1"/>
        <v>1168622.91872992</v>
      </c>
      <c r="O61" s="1">
        <v>58</v>
      </c>
      <c r="P61" s="1">
        <f t="shared" si="2"/>
        <v>1186331.05895498</v>
      </c>
      <c r="Q61" s="1">
        <v>58</v>
      </c>
      <c r="R61" s="1"/>
      <c r="S61" s="1">
        <f t="shared" si="3"/>
        <v>1179682.93340828</v>
      </c>
      <c r="T61" s="1">
        <v>58</v>
      </c>
      <c r="U61" s="1"/>
      <c r="V61" s="1">
        <f t="shared" si="4"/>
        <v>1021767.94377445</v>
      </c>
      <c r="W61" s="1">
        <v>58</v>
      </c>
      <c r="X61" s="1"/>
      <c r="Y61" s="1">
        <f t="shared" si="5"/>
        <v>1366376.24936647</v>
      </c>
      <c r="Z61" s="1">
        <v>58</v>
      </c>
      <c r="AA61" s="1"/>
      <c r="AB61" s="1">
        <f t="shared" si="6"/>
        <v>1177126.65603685</v>
      </c>
      <c r="AC61" s="1">
        <v>58</v>
      </c>
      <c r="AD61" s="1"/>
      <c r="AE61" s="1">
        <f t="shared" si="7"/>
        <v>1205101.88578283</v>
      </c>
      <c r="AF61" s="1">
        <v>58</v>
      </c>
      <c r="AG61" s="1"/>
      <c r="AH61" s="1">
        <f t="shared" si="8"/>
        <v>1041706.77235182</v>
      </c>
      <c r="AI61" s="1">
        <v>58</v>
      </c>
    </row>
    <row r="62" s="1" customFormat="1" spans="3:35">
      <c r="C62" s="2">
        <v>59</v>
      </c>
      <c r="D62" s="2">
        <v>363985</v>
      </c>
      <c r="E62" s="2">
        <v>178524</v>
      </c>
      <c r="F62" s="2">
        <v>185461</v>
      </c>
      <c r="G62" s="3">
        <v>8.29486178905568e-7</v>
      </c>
      <c r="H62" s="3">
        <v>6.84</v>
      </c>
      <c r="I62" s="13" t="s">
        <v>60</v>
      </c>
      <c r="J62" s="3">
        <f t="shared" si="0"/>
        <v>975083.071750078</v>
      </c>
      <c r="K62" s="1">
        <v>59</v>
      </c>
      <c r="L62" s="1"/>
      <c r="M62" s="1">
        <f t="shared" si="1"/>
        <v>1378880.87991877</v>
      </c>
      <c r="O62" s="1">
        <v>59</v>
      </c>
      <c r="P62" s="1">
        <f t="shared" si="2"/>
        <v>1161234.60854236</v>
      </c>
      <c r="Q62" s="1">
        <v>59</v>
      </c>
      <c r="R62" s="1"/>
      <c r="S62" s="1">
        <f t="shared" si="3"/>
        <v>1178830.79372125</v>
      </c>
      <c r="T62" s="1">
        <v>59</v>
      </c>
      <c r="U62" s="1"/>
      <c r="V62" s="1">
        <f t="shared" si="4"/>
        <v>1172224.69919492</v>
      </c>
      <c r="W62" s="1">
        <v>59</v>
      </c>
      <c r="X62" s="1"/>
      <c r="Y62" s="1">
        <f t="shared" si="5"/>
        <v>1015308.08543408</v>
      </c>
      <c r="Z62" s="1">
        <v>59</v>
      </c>
      <c r="AA62" s="1"/>
      <c r="AB62" s="1">
        <f t="shared" si="6"/>
        <v>1357737.69590202</v>
      </c>
      <c r="AC62" s="1">
        <v>59</v>
      </c>
      <c r="AD62" s="1"/>
      <c r="AE62" s="1">
        <f t="shared" si="7"/>
        <v>1169684.58321297</v>
      </c>
      <c r="AF62" s="1">
        <v>59</v>
      </c>
      <c r="AG62" s="1"/>
      <c r="AH62" s="1">
        <f t="shared" si="8"/>
        <v>1197482.94694715</v>
      </c>
      <c r="AI62" s="1">
        <v>59</v>
      </c>
    </row>
    <row r="63" s="1" customFormat="1" spans="3:35">
      <c r="C63" s="2">
        <v>60</v>
      </c>
      <c r="D63" s="2">
        <v>534554</v>
      </c>
      <c r="E63" s="2">
        <v>269935</v>
      </c>
      <c r="F63" s="2">
        <v>264619</v>
      </c>
      <c r="G63" s="3">
        <v>1.21819623028061e-6</v>
      </c>
      <c r="H63" s="3">
        <v>7.47</v>
      </c>
      <c r="I63" s="13" t="s">
        <v>61</v>
      </c>
      <c r="J63" s="3">
        <f t="shared" si="0"/>
        <v>361495.040679473</v>
      </c>
      <c r="K63" s="1">
        <v>60</v>
      </c>
      <c r="L63" s="1"/>
      <c r="M63" s="1">
        <f t="shared" si="1"/>
        <v>968412.694721376</v>
      </c>
      <c r="O63" s="1">
        <v>60</v>
      </c>
      <c r="P63" s="1">
        <f t="shared" si="2"/>
        <v>1369448.1909375</v>
      </c>
      <c r="Q63" s="1">
        <v>60</v>
      </c>
      <c r="R63" s="1"/>
      <c r="S63" s="1">
        <f t="shared" si="3"/>
        <v>1153290.80059188</v>
      </c>
      <c r="T63" s="1">
        <v>60</v>
      </c>
      <c r="U63" s="1"/>
      <c r="V63" s="1">
        <f t="shared" si="4"/>
        <v>1170766.61326835</v>
      </c>
      <c r="W63" s="1">
        <v>60</v>
      </c>
      <c r="X63" s="1"/>
      <c r="Y63" s="1">
        <f t="shared" si="5"/>
        <v>1164205.70990824</v>
      </c>
      <c r="Z63" s="1">
        <v>60</v>
      </c>
      <c r="AA63" s="1"/>
      <c r="AB63" s="1">
        <f t="shared" si="6"/>
        <v>1008362.53594569</v>
      </c>
      <c r="AC63" s="1">
        <v>60</v>
      </c>
      <c r="AD63" s="1"/>
      <c r="AE63" s="1">
        <f t="shared" si="7"/>
        <v>1348449.6438374</v>
      </c>
      <c r="AF63" s="1">
        <v>60</v>
      </c>
      <c r="AG63" s="1"/>
      <c r="AH63" s="1">
        <f t="shared" si="8"/>
        <v>1161682.9704266</v>
      </c>
      <c r="AI63" s="1">
        <v>60</v>
      </c>
    </row>
    <row r="64" s="1" customFormat="1" spans="3:35">
      <c r="C64" s="2">
        <v>61</v>
      </c>
      <c r="D64" s="2">
        <v>510316</v>
      </c>
      <c r="E64" s="2">
        <v>262509</v>
      </c>
      <c r="F64" s="2">
        <v>247807</v>
      </c>
      <c r="G64" s="3">
        <v>1.16296020131152e-6</v>
      </c>
      <c r="H64" s="3">
        <v>8.31</v>
      </c>
      <c r="I64" s="13" t="s">
        <v>62</v>
      </c>
      <c r="J64" s="3">
        <f t="shared" si="0"/>
        <v>530560.230428332</v>
      </c>
      <c r="K64" s="1">
        <v>61</v>
      </c>
      <c r="L64" s="1"/>
      <c r="M64" s="1">
        <f t="shared" si="1"/>
        <v>358794.232353702</v>
      </c>
      <c r="O64" s="1">
        <v>61</v>
      </c>
      <c r="P64" s="1">
        <f t="shared" si="2"/>
        <v>961177.472175113</v>
      </c>
      <c r="Q64" s="1">
        <v>61</v>
      </c>
      <c r="R64" s="1"/>
      <c r="S64" s="1">
        <f t="shared" si="3"/>
        <v>1359216.74469457</v>
      </c>
      <c r="T64" s="1">
        <v>61</v>
      </c>
      <c r="U64" s="1"/>
      <c r="V64" s="1">
        <f t="shared" si="4"/>
        <v>1144674.31337695</v>
      </c>
      <c r="W64" s="1">
        <v>61</v>
      </c>
      <c r="X64" s="1"/>
      <c r="Y64" s="1">
        <f t="shared" si="5"/>
        <v>1162019.56044376</v>
      </c>
      <c r="Z64" s="1">
        <v>61</v>
      </c>
      <c r="AA64" s="1"/>
      <c r="AB64" s="1">
        <f t="shared" si="6"/>
        <v>1155507.67502422</v>
      </c>
      <c r="AC64" s="1">
        <v>61</v>
      </c>
      <c r="AD64" s="1"/>
      <c r="AE64" s="1">
        <f t="shared" si="7"/>
        <v>1000828.83941873</v>
      </c>
      <c r="AF64" s="1">
        <v>61</v>
      </c>
      <c r="AG64" s="1"/>
      <c r="AH64" s="1">
        <f t="shared" si="8"/>
        <v>1338375.08232166</v>
      </c>
      <c r="AI64" s="1">
        <v>61</v>
      </c>
    </row>
    <row r="65" s="1" customFormat="1" spans="3:35">
      <c r="C65" s="2">
        <v>62</v>
      </c>
      <c r="D65" s="2">
        <v>708948</v>
      </c>
      <c r="E65" s="2">
        <v>363685</v>
      </c>
      <c r="F65" s="2">
        <v>345263</v>
      </c>
      <c r="G65" s="3">
        <v>1.61562308216752e-6</v>
      </c>
      <c r="H65" s="3">
        <v>8.67</v>
      </c>
      <c r="I65" s="13" t="s">
        <v>63</v>
      </c>
      <c r="J65" s="3">
        <f t="shared" si="0"/>
        <v>506074.680562802</v>
      </c>
      <c r="K65" s="1">
        <v>62</v>
      </c>
      <c r="L65" s="1"/>
      <c r="M65" s="1">
        <f t="shared" si="1"/>
        <v>526150.65789304</v>
      </c>
      <c r="O65" s="1">
        <v>62</v>
      </c>
      <c r="P65" s="1">
        <f t="shared" si="2"/>
        <v>355812.23501943</v>
      </c>
      <c r="Q65" s="1">
        <v>62</v>
      </c>
      <c r="R65" s="1"/>
      <c r="S65" s="1">
        <f t="shared" si="3"/>
        <v>953188.969570191</v>
      </c>
      <c r="T65" s="1">
        <v>62</v>
      </c>
      <c r="U65" s="1"/>
      <c r="V65" s="1">
        <f t="shared" si="4"/>
        <v>1347920.07283118</v>
      </c>
      <c r="W65" s="1">
        <v>62</v>
      </c>
      <c r="X65" s="1"/>
      <c r="Y65" s="1">
        <f t="shared" si="5"/>
        <v>1135160.73862212</v>
      </c>
      <c r="Z65" s="1">
        <v>62</v>
      </c>
      <c r="AA65" s="1"/>
      <c r="AB65" s="1">
        <f t="shared" si="6"/>
        <v>1152361.82651397</v>
      </c>
      <c r="AC65" s="1">
        <v>62</v>
      </c>
      <c r="AD65" s="1"/>
      <c r="AE65" s="1">
        <f t="shared" si="7"/>
        <v>1145904.06243533</v>
      </c>
      <c r="AF65" s="1">
        <v>62</v>
      </c>
      <c r="AG65" s="1"/>
      <c r="AH65" s="1">
        <f t="shared" si="8"/>
        <v>992510.787839054</v>
      </c>
      <c r="AI65" s="1">
        <v>62</v>
      </c>
    </row>
    <row r="66" s="1" customFormat="1" spans="3:35">
      <c r="C66" s="2">
        <v>63</v>
      </c>
      <c r="D66" s="2">
        <v>858643</v>
      </c>
      <c r="E66" s="2">
        <v>440655</v>
      </c>
      <c r="F66" s="2">
        <v>417988</v>
      </c>
      <c r="G66" s="3">
        <v>1.95676333121974e-6</v>
      </c>
      <c r="H66" s="3">
        <v>9.84</v>
      </c>
      <c r="I66" s="13" t="s">
        <v>64</v>
      </c>
      <c r="J66" s="3">
        <f t="shared" si="0"/>
        <v>702800.275447247</v>
      </c>
      <c r="K66" s="1">
        <v>63</v>
      </c>
      <c r="L66" s="1"/>
      <c r="M66" s="1">
        <f t="shared" si="1"/>
        <v>501686.195456387</v>
      </c>
      <c r="O66" s="1">
        <v>63</v>
      </c>
      <c r="P66" s="1">
        <f t="shared" si="2"/>
        <v>521588.08162796</v>
      </c>
      <c r="Q66" s="1">
        <v>63</v>
      </c>
      <c r="R66" s="1"/>
      <c r="S66" s="1">
        <f t="shared" si="3"/>
        <v>352726.768083351</v>
      </c>
      <c r="T66" s="1">
        <v>63</v>
      </c>
      <c r="U66" s="1"/>
      <c r="V66" s="1">
        <f t="shared" si="4"/>
        <v>944923.281209917</v>
      </c>
      <c r="W66" s="1">
        <v>63</v>
      </c>
      <c r="X66" s="1"/>
      <c r="Y66" s="1">
        <f t="shared" si="5"/>
        <v>1336231.42806895</v>
      </c>
      <c r="Z66" s="1">
        <v>63</v>
      </c>
      <c r="AA66" s="1"/>
      <c r="AB66" s="1">
        <f t="shared" si="6"/>
        <v>1125317.06102637</v>
      </c>
      <c r="AC66" s="1">
        <v>63</v>
      </c>
      <c r="AD66" s="1"/>
      <c r="AE66" s="1">
        <f t="shared" si="7"/>
        <v>1142368.98769573</v>
      </c>
      <c r="AF66" s="1">
        <v>63</v>
      </c>
      <c r="AG66" s="1"/>
      <c r="AH66" s="1">
        <f t="shared" si="8"/>
        <v>1135967.22286496</v>
      </c>
      <c r="AI66" s="1">
        <v>63</v>
      </c>
    </row>
    <row r="67" s="1" customFormat="1" spans="3:35">
      <c r="C67" s="2">
        <v>64</v>
      </c>
      <c r="D67" s="2">
        <v>756753</v>
      </c>
      <c r="E67" s="2">
        <v>382113</v>
      </c>
      <c r="F67" s="2">
        <v>374640</v>
      </c>
      <c r="G67" s="3">
        <v>1.72456599680022e-6</v>
      </c>
      <c r="H67" s="3">
        <v>10.5</v>
      </c>
      <c r="I67" s="13" t="s">
        <v>65</v>
      </c>
      <c r="J67" s="3">
        <f t="shared" si="0"/>
        <v>850192.272718863</v>
      </c>
      <c r="K67" s="1">
        <v>64</v>
      </c>
      <c r="L67" s="1"/>
      <c r="M67" s="1">
        <f t="shared" si="1"/>
        <v>695883.345523038</v>
      </c>
      <c r="O67" s="1">
        <v>64</v>
      </c>
      <c r="P67" s="1">
        <f t="shared" si="2"/>
        <v>496748.621611945</v>
      </c>
      <c r="Q67" s="1">
        <v>64</v>
      </c>
      <c r="R67" s="1"/>
      <c r="S67" s="1">
        <f t="shared" si="3"/>
        <v>516454.634280309</v>
      </c>
      <c r="T67" s="1">
        <v>64</v>
      </c>
      <c r="U67" s="1"/>
      <c r="V67" s="1">
        <f t="shared" si="4"/>
        <v>349255.246482606</v>
      </c>
      <c r="W67" s="1">
        <v>64</v>
      </c>
      <c r="X67" s="1"/>
      <c r="Y67" s="1">
        <f t="shared" si="5"/>
        <v>935623.387131584</v>
      </c>
      <c r="Z67" s="1">
        <v>64</v>
      </c>
      <c r="AA67" s="1"/>
      <c r="AB67" s="1">
        <f t="shared" si="6"/>
        <v>1323080.29612809</v>
      </c>
      <c r="AC67" s="1">
        <v>64</v>
      </c>
      <c r="AD67" s="1"/>
      <c r="AE67" s="1">
        <f t="shared" si="7"/>
        <v>1114241.73916671</v>
      </c>
      <c r="AF67" s="1">
        <v>64</v>
      </c>
      <c r="AG67" s="1"/>
      <c r="AH67" s="1">
        <f t="shared" si="8"/>
        <v>1131125.84151106</v>
      </c>
      <c r="AI67" s="1">
        <v>64</v>
      </c>
    </row>
    <row r="68" s="1" customFormat="1" spans="3:35">
      <c r="C68" s="2">
        <v>65</v>
      </c>
      <c r="D68" s="2">
        <v>741308</v>
      </c>
      <c r="E68" s="2">
        <v>372952</v>
      </c>
      <c r="F68" s="2">
        <v>368356</v>
      </c>
      <c r="G68" s="3">
        <v>1.68936835394901e-6</v>
      </c>
      <c r="H68" s="3">
        <v>11.33</v>
      </c>
      <c r="I68" s="13" t="s">
        <v>66</v>
      </c>
      <c r="J68" s="3">
        <f t="shared" ref="J68:J104" si="9">(1-I67-G67)*D67</f>
        <v>748805.788429508</v>
      </c>
      <c r="K68" s="1">
        <v>65</v>
      </c>
      <c r="L68" s="1"/>
      <c r="M68" s="1">
        <f t="shared" ref="M68:M104" si="10">J67*(1-G67-I67)</f>
        <v>841263.787642631</v>
      </c>
      <c r="O68" s="1">
        <v>65</v>
      </c>
      <c r="P68" s="1">
        <f t="shared" ref="P68:P104" si="11">M67*(1-G67-I67)</f>
        <v>688575.370298291</v>
      </c>
      <c r="Q68" s="1">
        <v>65</v>
      </c>
      <c r="R68" s="1"/>
      <c r="S68" s="1">
        <f t="shared" ref="S68:S104" si="12">P67*(1-G67-I67)</f>
        <v>491531.904409238</v>
      </c>
      <c r="T68" s="1">
        <v>65</v>
      </c>
      <c r="U68" s="1"/>
      <c r="V68" s="1">
        <f t="shared" ref="V68:V104" si="13">S67*(1-G67-I67)</f>
        <v>511030.969960265</v>
      </c>
      <c r="W68" s="1">
        <v>65</v>
      </c>
      <c r="X68" s="1"/>
      <c r="Y68" s="1">
        <f t="shared" ref="Y68:Y104" si="14">V67*(1-G67-I67)</f>
        <v>345587.464080816</v>
      </c>
      <c r="Z68" s="1">
        <v>65</v>
      </c>
      <c r="AA68" s="1"/>
      <c r="AB68" s="1">
        <f t="shared" ref="AB68:AB104" si="15">Y67*(1-G67-I67)</f>
        <v>925797.728022423</v>
      </c>
      <c r="AC68" s="1">
        <v>65</v>
      </c>
      <c r="AD68" s="1"/>
      <c r="AE68" s="1">
        <f t="shared" ref="AE68:AE104" si="16">AB67*(1-G67-I67)</f>
        <v>1309185.67127946</v>
      </c>
      <c r="AF68" s="1">
        <v>65</v>
      </c>
      <c r="AG68" s="1"/>
      <c r="AH68" s="1">
        <f t="shared" ref="AH68:AH104" si="17">AE67*(1-G67-I67)</f>
        <v>1102540.27932204</v>
      </c>
      <c r="AI68" s="1">
        <v>65</v>
      </c>
    </row>
    <row r="69" s="1" customFormat="1" spans="3:35">
      <c r="C69" s="2">
        <v>66</v>
      </c>
      <c r="D69" s="2">
        <v>798483</v>
      </c>
      <c r="E69" s="2">
        <v>398327</v>
      </c>
      <c r="F69" s="2">
        <v>400156</v>
      </c>
      <c r="G69" s="3">
        <v>1.81966458120817e-6</v>
      </c>
      <c r="H69" s="3">
        <v>12.63</v>
      </c>
      <c r="I69" s="13" t="s">
        <v>67</v>
      </c>
      <c r="J69" s="3">
        <f t="shared" si="9"/>
        <v>732907.728017724</v>
      </c>
      <c r="K69" s="1">
        <v>66</v>
      </c>
      <c r="L69" s="1"/>
      <c r="M69" s="1">
        <f t="shared" si="10"/>
        <v>740320.5538378</v>
      </c>
      <c r="O69" s="1">
        <v>66</v>
      </c>
      <c r="P69" s="1">
        <f t="shared" si="11"/>
        <v>831730.84772422</v>
      </c>
      <c r="Q69" s="1">
        <v>66</v>
      </c>
      <c r="R69" s="1"/>
      <c r="S69" s="1">
        <f t="shared" si="12"/>
        <v>680772.648095371</v>
      </c>
      <c r="T69" s="1">
        <v>66</v>
      </c>
      <c r="U69" s="1"/>
      <c r="V69" s="1">
        <f t="shared" si="13"/>
        <v>485962.017553837</v>
      </c>
      <c r="W69" s="1">
        <v>66</v>
      </c>
      <c r="X69" s="1"/>
      <c r="Y69" s="1">
        <f t="shared" si="14"/>
        <v>505240.125751066</v>
      </c>
      <c r="Z69" s="1">
        <v>66</v>
      </c>
      <c r="AA69" s="1"/>
      <c r="AB69" s="1">
        <f t="shared" si="15"/>
        <v>341671.374288255</v>
      </c>
      <c r="AC69" s="1">
        <v>66</v>
      </c>
      <c r="AD69" s="1"/>
      <c r="AE69" s="1">
        <f t="shared" si="16"/>
        <v>915306.875750545</v>
      </c>
      <c r="AF69" s="1">
        <v>66</v>
      </c>
      <c r="AG69" s="1"/>
      <c r="AH69" s="1">
        <f t="shared" si="17"/>
        <v>1294350.38592702</v>
      </c>
      <c r="AI69" s="1">
        <v>66</v>
      </c>
    </row>
    <row r="70" s="1" customFormat="1" spans="3:35">
      <c r="C70" s="2">
        <v>67</v>
      </c>
      <c r="D70" s="2">
        <v>740211</v>
      </c>
      <c r="E70" s="2">
        <v>367977</v>
      </c>
      <c r="F70" s="2">
        <v>372234</v>
      </c>
      <c r="G70" s="3">
        <v>1.68686839835122e-6</v>
      </c>
      <c r="H70" s="3">
        <v>13.85</v>
      </c>
      <c r="I70" s="13" t="s">
        <v>68</v>
      </c>
      <c r="J70" s="3">
        <f t="shared" si="9"/>
        <v>788396.706738766</v>
      </c>
      <c r="K70" s="1">
        <v>67</v>
      </c>
      <c r="L70" s="1"/>
      <c r="M70" s="1">
        <f t="shared" si="10"/>
        <v>723649.769766626</v>
      </c>
      <c r="O70" s="1">
        <v>67</v>
      </c>
      <c r="P70" s="1">
        <f t="shared" si="11"/>
        <v>730968.958107738</v>
      </c>
      <c r="Q70" s="1">
        <v>67</v>
      </c>
      <c r="R70" s="1"/>
      <c r="S70" s="1">
        <f t="shared" si="12"/>
        <v>821224.573646298</v>
      </c>
      <c r="T70" s="1">
        <v>67</v>
      </c>
      <c r="U70" s="1"/>
      <c r="V70" s="1">
        <f t="shared" si="13"/>
        <v>672173.250772051</v>
      </c>
      <c r="W70" s="1">
        <v>67</v>
      </c>
      <c r="X70" s="1"/>
      <c r="Y70" s="1">
        <f t="shared" si="14"/>
        <v>479823.432984261</v>
      </c>
      <c r="Z70" s="1">
        <v>67</v>
      </c>
      <c r="AA70" s="1"/>
      <c r="AB70" s="1">
        <f t="shared" si="15"/>
        <v>498858.023595268</v>
      </c>
      <c r="AC70" s="1">
        <v>67</v>
      </c>
      <c r="AD70" s="1"/>
      <c r="AE70" s="1">
        <f t="shared" si="16"/>
        <v>337355.443103696</v>
      </c>
      <c r="AF70" s="1">
        <v>67</v>
      </c>
      <c r="AG70" s="1"/>
      <c r="AH70" s="1">
        <f t="shared" si="17"/>
        <v>903744.884358313</v>
      </c>
      <c r="AI70" s="1">
        <v>67</v>
      </c>
    </row>
    <row r="71" s="1" customFormat="1" spans="3:35">
      <c r="C71" s="2">
        <v>68</v>
      </c>
      <c r="D71" s="2">
        <v>769101</v>
      </c>
      <c r="E71" s="2">
        <v>383137</v>
      </c>
      <c r="F71" s="2">
        <v>385964</v>
      </c>
      <c r="G71" s="3">
        <v>1.75270587986442e-6</v>
      </c>
      <c r="H71" s="3">
        <v>15.87</v>
      </c>
      <c r="I71" s="13" t="s">
        <v>69</v>
      </c>
      <c r="J71" s="3">
        <f t="shared" si="9"/>
        <v>729957.829011456</v>
      </c>
      <c r="K71" s="1">
        <v>68</v>
      </c>
      <c r="L71" s="1"/>
      <c r="M71" s="1">
        <f t="shared" si="10"/>
        <v>777476.082428944</v>
      </c>
      <c r="O71" s="1">
        <v>68</v>
      </c>
      <c r="P71" s="1">
        <f t="shared" si="11"/>
        <v>713625.999753431</v>
      </c>
      <c r="Q71" s="1">
        <v>68</v>
      </c>
      <c r="R71" s="1"/>
      <c r="S71" s="1">
        <f t="shared" si="12"/>
        <v>720843.80498951</v>
      </c>
      <c r="T71" s="1">
        <v>68</v>
      </c>
      <c r="U71" s="1"/>
      <c r="V71" s="1">
        <f t="shared" si="13"/>
        <v>809849.228003516</v>
      </c>
      <c r="W71" s="1">
        <v>68</v>
      </c>
      <c r="X71" s="1"/>
      <c r="Y71" s="1">
        <f t="shared" si="14"/>
        <v>662862.517381043</v>
      </c>
      <c r="Z71" s="1">
        <v>68</v>
      </c>
      <c r="AA71" s="1"/>
      <c r="AB71" s="1">
        <f t="shared" si="15"/>
        <v>473177.069038443</v>
      </c>
      <c r="AC71" s="1">
        <v>68</v>
      </c>
      <c r="AD71" s="1"/>
      <c r="AE71" s="1">
        <f t="shared" si="16"/>
        <v>491947.998460639</v>
      </c>
      <c r="AF71" s="1">
        <v>68</v>
      </c>
      <c r="AG71" s="1"/>
      <c r="AH71" s="1">
        <f t="shared" si="17"/>
        <v>332682.501142474</v>
      </c>
      <c r="AI71" s="1">
        <v>68</v>
      </c>
    </row>
    <row r="72" s="1" customFormat="1" spans="3:35">
      <c r="C72" s="2">
        <v>69</v>
      </c>
      <c r="D72" s="2">
        <v>623975</v>
      </c>
      <c r="E72" s="2">
        <v>308029</v>
      </c>
      <c r="F72" s="2">
        <v>315946</v>
      </c>
      <c r="G72" s="3">
        <v>1.42197793448247e-6</v>
      </c>
      <c r="H72" s="3">
        <v>17.12</v>
      </c>
      <c r="I72" s="13" t="s">
        <v>70</v>
      </c>
      <c r="J72" s="3">
        <f t="shared" si="9"/>
        <v>756894.019122155</v>
      </c>
      <c r="K72" s="1">
        <v>69</v>
      </c>
      <c r="L72" s="1"/>
      <c r="M72" s="1">
        <f t="shared" si="10"/>
        <v>718372.118863665</v>
      </c>
      <c r="O72" s="1">
        <v>69</v>
      </c>
      <c r="P72" s="1">
        <f t="shared" si="11"/>
        <v>765136.174313896</v>
      </c>
      <c r="Q72" s="1">
        <v>69</v>
      </c>
      <c r="R72" s="1"/>
      <c r="S72" s="1">
        <f t="shared" si="12"/>
        <v>702299.504360858</v>
      </c>
      <c r="T72" s="1">
        <v>69</v>
      </c>
      <c r="U72" s="1"/>
      <c r="V72" s="1">
        <f t="shared" si="13"/>
        <v>709402.750377151</v>
      </c>
      <c r="W72" s="1">
        <v>69</v>
      </c>
      <c r="X72" s="1"/>
      <c r="Y72" s="1">
        <f t="shared" si="14"/>
        <v>796995.501327596</v>
      </c>
      <c r="Z72" s="1">
        <v>69</v>
      </c>
      <c r="AA72" s="1"/>
      <c r="AB72" s="1">
        <f t="shared" si="15"/>
        <v>652341.727427174</v>
      </c>
      <c r="AC72" s="1">
        <v>69</v>
      </c>
      <c r="AD72" s="1"/>
      <c r="AE72" s="1">
        <f t="shared" si="16"/>
        <v>465666.919612572</v>
      </c>
      <c r="AF72" s="1">
        <v>69</v>
      </c>
      <c r="AG72" s="1"/>
      <c r="AH72" s="1">
        <f t="shared" si="17"/>
        <v>484139.921484919</v>
      </c>
      <c r="AI72" s="1">
        <v>69</v>
      </c>
    </row>
    <row r="73" s="1" customFormat="1" spans="3:35">
      <c r="C73" s="2">
        <v>70</v>
      </c>
      <c r="D73" s="2">
        <v>606760</v>
      </c>
      <c r="E73" s="2">
        <v>300240</v>
      </c>
      <c r="F73" s="2">
        <v>306520</v>
      </c>
      <c r="G73" s="3">
        <v>1.38274663492381e-6</v>
      </c>
      <c r="H73" s="3">
        <v>19.29</v>
      </c>
      <c r="I73" s="13" t="s">
        <v>71</v>
      </c>
      <c r="J73" s="3">
        <f t="shared" si="9"/>
        <v>613291.660721318</v>
      </c>
      <c r="K73" s="1">
        <v>70</v>
      </c>
      <c r="L73" s="1"/>
      <c r="M73" s="1">
        <f t="shared" si="10"/>
        <v>743934.91722819</v>
      </c>
      <c r="O73" s="1">
        <v>70</v>
      </c>
      <c r="P73" s="1">
        <f t="shared" si="11"/>
        <v>706072.566679417</v>
      </c>
      <c r="Q73" s="1">
        <v>70</v>
      </c>
      <c r="R73" s="1"/>
      <c r="S73" s="1">
        <f t="shared" si="12"/>
        <v>752035.955002885</v>
      </c>
      <c r="T73" s="1">
        <v>70</v>
      </c>
      <c r="U73" s="1"/>
      <c r="V73" s="1">
        <f t="shared" si="13"/>
        <v>690275.138191801</v>
      </c>
      <c r="W73" s="1">
        <v>70</v>
      </c>
      <c r="X73" s="1"/>
      <c r="Y73" s="1">
        <f t="shared" si="14"/>
        <v>697256.766535636</v>
      </c>
      <c r="Z73" s="1">
        <v>70</v>
      </c>
      <c r="AA73" s="1"/>
      <c r="AB73" s="1">
        <f t="shared" si="15"/>
        <v>783349.805034851</v>
      </c>
      <c r="AC73" s="1">
        <v>70</v>
      </c>
      <c r="AD73" s="1"/>
      <c r="AE73" s="1">
        <f t="shared" si="16"/>
        <v>641172.709438079</v>
      </c>
      <c r="AF73" s="1">
        <v>70</v>
      </c>
      <c r="AG73" s="1"/>
      <c r="AH73" s="1">
        <f t="shared" si="17"/>
        <v>457694.03978072</v>
      </c>
      <c r="AI73" s="1">
        <v>70</v>
      </c>
    </row>
    <row r="74" s="1" customFormat="1" spans="3:35">
      <c r="C74" s="2">
        <v>71</v>
      </c>
      <c r="D74" s="2">
        <v>617946</v>
      </c>
      <c r="E74" s="2">
        <v>310890</v>
      </c>
      <c r="F74" s="2">
        <v>307056</v>
      </c>
      <c r="G74" s="3">
        <v>1.40823843375408e-6</v>
      </c>
      <c r="H74" s="3">
        <v>22.08</v>
      </c>
      <c r="I74" s="13" t="s">
        <v>72</v>
      </c>
      <c r="J74" s="3">
        <f t="shared" si="9"/>
        <v>595054.760604652</v>
      </c>
      <c r="K74" s="1">
        <v>71</v>
      </c>
      <c r="L74" s="1"/>
      <c r="M74" s="1">
        <f t="shared" si="10"/>
        <v>601460.416559024</v>
      </c>
      <c r="O74" s="1">
        <v>71</v>
      </c>
      <c r="P74" s="1">
        <f t="shared" si="11"/>
        <v>729583.384001355</v>
      </c>
      <c r="Q74" s="1">
        <v>71</v>
      </c>
      <c r="R74" s="1"/>
      <c r="S74" s="1">
        <f t="shared" si="12"/>
        <v>692451.450548706</v>
      </c>
      <c r="T74" s="1">
        <v>71</v>
      </c>
      <c r="U74" s="1"/>
      <c r="V74" s="1">
        <f t="shared" si="13"/>
        <v>737528.141555693</v>
      </c>
      <c r="W74" s="1">
        <v>71</v>
      </c>
      <c r="X74" s="1"/>
      <c r="Y74" s="1">
        <f t="shared" si="14"/>
        <v>676958.776300457</v>
      </c>
      <c r="Z74" s="1">
        <v>71</v>
      </c>
      <c r="AA74" s="1"/>
      <c r="AB74" s="1">
        <f t="shared" si="15"/>
        <v>683805.719379716</v>
      </c>
      <c r="AC74" s="1">
        <v>71</v>
      </c>
      <c r="AD74" s="1"/>
      <c r="AE74" s="1">
        <f t="shared" si="16"/>
        <v>768237.904121421</v>
      </c>
      <c r="AF74" s="1">
        <v>71</v>
      </c>
      <c r="AG74" s="1"/>
      <c r="AH74" s="1">
        <f t="shared" si="17"/>
        <v>628803.601293612</v>
      </c>
      <c r="AI74" s="1">
        <v>71</v>
      </c>
    </row>
    <row r="75" s="1" customFormat="1" spans="3:35">
      <c r="C75" s="2">
        <v>72</v>
      </c>
      <c r="D75" s="2">
        <v>527887</v>
      </c>
      <c r="E75" s="2">
        <v>262101</v>
      </c>
      <c r="F75" s="2">
        <v>265786</v>
      </c>
      <c r="G75" s="3">
        <v>1.20300279001586e-6</v>
      </c>
      <c r="H75" s="3">
        <v>24.08</v>
      </c>
      <c r="I75" s="13" t="s">
        <v>73</v>
      </c>
      <c r="J75" s="3">
        <f t="shared" si="9"/>
        <v>604300.882104693</v>
      </c>
      <c r="K75" s="1">
        <v>72</v>
      </c>
      <c r="L75" s="1"/>
      <c r="M75" s="1">
        <f t="shared" si="10"/>
        <v>581915.113511517</v>
      </c>
      <c r="O75" s="1">
        <v>72</v>
      </c>
      <c r="P75" s="1">
        <f t="shared" si="11"/>
        <v>588179.323561726</v>
      </c>
      <c r="Q75" s="1">
        <v>72</v>
      </c>
      <c r="R75" s="1"/>
      <c r="S75" s="1">
        <f t="shared" si="12"/>
        <v>713473.155455243</v>
      </c>
      <c r="T75" s="1">
        <v>72</v>
      </c>
      <c r="U75" s="1"/>
      <c r="V75" s="1">
        <f t="shared" si="13"/>
        <v>677161.147383844</v>
      </c>
      <c r="W75" s="1">
        <v>72</v>
      </c>
      <c r="X75" s="1"/>
      <c r="Y75" s="1">
        <f t="shared" si="14"/>
        <v>721242.481574669</v>
      </c>
      <c r="Z75" s="1">
        <v>72</v>
      </c>
      <c r="AA75" s="1"/>
      <c r="AB75" s="1">
        <f t="shared" si="15"/>
        <v>662010.573200376</v>
      </c>
      <c r="AC75" s="1">
        <v>72</v>
      </c>
      <c r="AD75" s="1"/>
      <c r="AE75" s="1">
        <f t="shared" si="16"/>
        <v>668706.326134317</v>
      </c>
      <c r="AF75" s="1">
        <v>72</v>
      </c>
      <c r="AG75" s="1"/>
      <c r="AH75" s="1">
        <f t="shared" si="17"/>
        <v>751274.129336278</v>
      </c>
      <c r="AI75" s="1">
        <v>72</v>
      </c>
    </row>
    <row r="76" s="1" customFormat="1" spans="3:35">
      <c r="C76" s="2">
        <v>73</v>
      </c>
      <c r="D76" s="2">
        <v>477808</v>
      </c>
      <c r="E76" s="2">
        <v>238468</v>
      </c>
      <c r="F76" s="2">
        <v>239340</v>
      </c>
      <c r="G76" s="3">
        <v>1.08887765202004e-6</v>
      </c>
      <c r="H76" s="3">
        <v>27.58</v>
      </c>
      <c r="I76" s="13" t="s">
        <v>74</v>
      </c>
      <c r="J76" s="3">
        <f t="shared" si="9"/>
        <v>515174.845990466</v>
      </c>
      <c r="K76" s="1">
        <v>73</v>
      </c>
      <c r="L76" s="1"/>
      <c r="M76" s="1">
        <f t="shared" si="10"/>
        <v>589748.589887965</v>
      </c>
      <c r="O76" s="1">
        <v>73</v>
      </c>
      <c r="P76" s="1">
        <f t="shared" si="11"/>
        <v>567901.897532654</v>
      </c>
      <c r="Q76" s="1">
        <v>73</v>
      </c>
      <c r="R76" s="1"/>
      <c r="S76" s="1">
        <f t="shared" si="12"/>
        <v>574015.257868992</v>
      </c>
      <c r="T76" s="1">
        <v>73</v>
      </c>
      <c r="U76" s="1"/>
      <c r="V76" s="1">
        <f t="shared" si="13"/>
        <v>696291.863561684</v>
      </c>
      <c r="W76" s="1">
        <v>73</v>
      </c>
      <c r="X76" s="1"/>
      <c r="Y76" s="1">
        <f t="shared" si="14"/>
        <v>660854.292328092</v>
      </c>
      <c r="Z76" s="1">
        <v>73</v>
      </c>
      <c r="AA76" s="1"/>
      <c r="AB76" s="1">
        <f t="shared" si="15"/>
        <v>703874.094961633</v>
      </c>
      <c r="AC76" s="1">
        <v>73</v>
      </c>
      <c r="AD76" s="1"/>
      <c r="AE76" s="1">
        <f t="shared" si="16"/>
        <v>646068.562197144</v>
      </c>
      <c r="AF76" s="1">
        <v>73</v>
      </c>
      <c r="AG76" s="1"/>
      <c r="AH76" s="1">
        <f t="shared" si="17"/>
        <v>652603.073345427</v>
      </c>
      <c r="AI76" s="1">
        <v>73</v>
      </c>
    </row>
    <row r="77" s="1" customFormat="1" spans="3:35">
      <c r="C77" s="2">
        <v>74</v>
      </c>
      <c r="D77" s="2">
        <v>411938</v>
      </c>
      <c r="E77" s="2">
        <v>202420</v>
      </c>
      <c r="F77" s="2">
        <v>209518</v>
      </c>
      <c r="G77" s="3">
        <v>9.38766371048266e-7</v>
      </c>
      <c r="H77" s="3">
        <v>30.17</v>
      </c>
      <c r="I77" s="13" t="s">
        <v>75</v>
      </c>
      <c r="J77" s="3">
        <f t="shared" si="9"/>
        <v>464629.535085547</v>
      </c>
      <c r="K77" s="1">
        <v>74</v>
      </c>
      <c r="L77" s="1"/>
      <c r="M77" s="1">
        <f t="shared" si="10"/>
        <v>500965.762775672</v>
      </c>
      <c r="O77" s="1">
        <v>74</v>
      </c>
      <c r="P77" s="1">
        <f t="shared" si="11"/>
        <v>573482.681614795</v>
      </c>
      <c r="Q77" s="1">
        <v>74</v>
      </c>
      <c r="R77" s="1"/>
      <c r="S77" s="1">
        <f t="shared" si="12"/>
        <v>552238.544823019</v>
      </c>
      <c r="T77" s="1">
        <v>74</v>
      </c>
      <c r="U77" s="1"/>
      <c r="V77" s="1">
        <f t="shared" si="13"/>
        <v>558183.292024579</v>
      </c>
      <c r="W77" s="1">
        <v>74</v>
      </c>
      <c r="X77" s="1"/>
      <c r="Y77" s="1">
        <f t="shared" si="14"/>
        <v>677087.375788003</v>
      </c>
      <c r="Z77" s="1">
        <v>74</v>
      </c>
      <c r="AA77" s="1"/>
      <c r="AB77" s="1">
        <f t="shared" si="15"/>
        <v>642627.211356213</v>
      </c>
      <c r="AC77" s="1">
        <v>74</v>
      </c>
      <c r="AD77" s="1"/>
      <c r="AE77" s="1">
        <f t="shared" si="16"/>
        <v>684460.480989819</v>
      </c>
      <c r="AF77" s="1">
        <v>74</v>
      </c>
      <c r="AG77" s="1"/>
      <c r="AH77" s="1">
        <f t="shared" si="17"/>
        <v>628249.287762128</v>
      </c>
      <c r="AI77" s="1">
        <v>74</v>
      </c>
    </row>
    <row r="78" s="1" customFormat="1" spans="3:35">
      <c r="C78" s="2">
        <v>75</v>
      </c>
      <c r="D78" s="2">
        <v>337286</v>
      </c>
      <c r="E78" s="2">
        <v>163975</v>
      </c>
      <c r="F78" s="2">
        <v>173311</v>
      </c>
      <c r="G78" s="3">
        <v>7.68641771881653e-7</v>
      </c>
      <c r="H78" s="3">
        <v>35.1</v>
      </c>
      <c r="I78" s="13" t="s">
        <v>76</v>
      </c>
      <c r="J78" s="3">
        <f t="shared" si="9"/>
        <v>399509.443826459</v>
      </c>
      <c r="K78" s="1">
        <v>75</v>
      </c>
      <c r="L78" s="1"/>
      <c r="M78" s="1">
        <f t="shared" si="10"/>
        <v>450611.225833433</v>
      </c>
      <c r="O78" s="1">
        <v>75</v>
      </c>
      <c r="P78" s="1">
        <f t="shared" si="11"/>
        <v>485851.155422919</v>
      </c>
      <c r="Q78" s="1">
        <v>75</v>
      </c>
      <c r="R78" s="1"/>
      <c r="S78" s="1">
        <f t="shared" si="12"/>
        <v>556180.17074422</v>
      </c>
      <c r="T78" s="1">
        <v>75</v>
      </c>
      <c r="U78" s="1"/>
      <c r="V78" s="1">
        <f t="shared" si="13"/>
        <v>535576.989502734</v>
      </c>
      <c r="W78" s="1">
        <v>75</v>
      </c>
      <c r="X78" s="1"/>
      <c r="Y78" s="1">
        <f t="shared" si="14"/>
        <v>541342.378100494</v>
      </c>
      <c r="Z78" s="1">
        <v>75</v>
      </c>
      <c r="AA78" s="1"/>
      <c r="AB78" s="1">
        <f t="shared" si="15"/>
        <v>656659.01403362</v>
      </c>
      <c r="AC78" s="1">
        <v>75</v>
      </c>
      <c r="AD78" s="1"/>
      <c r="AE78" s="1">
        <f t="shared" si="16"/>
        <v>623238.545112781</v>
      </c>
      <c r="AF78" s="1">
        <v>75</v>
      </c>
      <c r="AG78" s="1"/>
      <c r="AH78" s="1">
        <f t="shared" si="17"/>
        <v>663809.665729875</v>
      </c>
      <c r="AI78" s="1">
        <v>75</v>
      </c>
    </row>
    <row r="79" s="1" customFormat="1" spans="3:35">
      <c r="C79" s="2">
        <v>76</v>
      </c>
      <c r="D79" s="2">
        <v>367929</v>
      </c>
      <c r="E79" s="2">
        <v>181792</v>
      </c>
      <c r="F79" s="2">
        <v>186137</v>
      </c>
      <c r="G79" s="3">
        <v>8.38474168766702e-7</v>
      </c>
      <c r="H79" s="3">
        <v>36.82</v>
      </c>
      <c r="I79" s="13" t="s">
        <v>77</v>
      </c>
      <c r="J79" s="3">
        <f t="shared" si="9"/>
        <v>325447.002147891</v>
      </c>
      <c r="K79" s="1">
        <v>76</v>
      </c>
      <c r="L79" s="1"/>
      <c r="M79" s="1">
        <f t="shared" si="10"/>
        <v>385486.355268503</v>
      </c>
      <c r="O79" s="1">
        <v>76</v>
      </c>
      <c r="P79" s="1">
        <f t="shared" si="11"/>
        <v>434794.425448069</v>
      </c>
      <c r="Q79" s="1">
        <v>76</v>
      </c>
      <c r="R79" s="1"/>
      <c r="S79" s="1">
        <f t="shared" si="12"/>
        <v>468797.406422082</v>
      </c>
      <c r="T79" s="1">
        <v>76</v>
      </c>
      <c r="U79" s="1"/>
      <c r="V79" s="1">
        <f t="shared" si="13"/>
        <v>536657.819247786</v>
      </c>
      <c r="W79" s="1">
        <v>76</v>
      </c>
      <c r="X79" s="1"/>
      <c r="Y79" s="1">
        <f t="shared" si="14"/>
        <v>516777.825504342</v>
      </c>
      <c r="Z79" s="1">
        <v>76</v>
      </c>
      <c r="AA79" s="1"/>
      <c r="AB79" s="1">
        <f t="shared" si="15"/>
        <v>522340.844530802</v>
      </c>
      <c r="AC79" s="1">
        <v>76</v>
      </c>
      <c r="AD79" s="1"/>
      <c r="AE79" s="1">
        <f t="shared" si="16"/>
        <v>633609.777905492</v>
      </c>
      <c r="AF79" s="1">
        <v>76</v>
      </c>
      <c r="AG79" s="1"/>
      <c r="AH79" s="1">
        <f t="shared" si="17"/>
        <v>601362.393132142</v>
      </c>
      <c r="AI79" s="1">
        <v>76</v>
      </c>
    </row>
    <row r="80" s="1" customFormat="1" spans="3:35">
      <c r="C80" s="2">
        <v>77</v>
      </c>
      <c r="D80" s="2">
        <v>306583</v>
      </c>
      <c r="E80" s="2">
        <v>148783</v>
      </c>
      <c r="F80" s="2">
        <v>157800</v>
      </c>
      <c r="G80" s="3">
        <v>6.98672640870932e-7</v>
      </c>
      <c r="H80" s="3">
        <v>42.38</v>
      </c>
      <c r="I80" s="13" t="s">
        <v>78</v>
      </c>
      <c r="J80" s="3">
        <f t="shared" si="9"/>
        <v>354381.545721038</v>
      </c>
      <c r="K80" s="1">
        <v>77</v>
      </c>
      <c r="L80" s="1"/>
      <c r="M80" s="1">
        <f t="shared" si="10"/>
        <v>313463.770649901</v>
      </c>
      <c r="O80" s="1">
        <v>77</v>
      </c>
      <c r="P80" s="1">
        <f t="shared" si="11"/>
        <v>371292.424447166</v>
      </c>
      <c r="Q80" s="1">
        <v>77</v>
      </c>
      <c r="R80" s="1"/>
      <c r="S80" s="1">
        <f t="shared" si="12"/>
        <v>418784.930139176</v>
      </c>
      <c r="T80" s="1">
        <v>77</v>
      </c>
      <c r="U80" s="1"/>
      <c r="V80" s="1">
        <f t="shared" si="13"/>
        <v>451535.892843105</v>
      </c>
      <c r="W80" s="1">
        <v>77</v>
      </c>
      <c r="X80" s="1"/>
      <c r="Y80" s="1">
        <f t="shared" si="14"/>
        <v>516897.628369364</v>
      </c>
      <c r="Z80" s="1">
        <v>77</v>
      </c>
      <c r="AA80" s="1"/>
      <c r="AB80" s="1">
        <f t="shared" si="15"/>
        <v>497749.632664414</v>
      </c>
      <c r="AC80" s="1">
        <v>77</v>
      </c>
      <c r="AD80" s="1"/>
      <c r="AE80" s="1">
        <f t="shared" si="16"/>
        <v>503107.816665873</v>
      </c>
      <c r="AF80" s="1">
        <v>77</v>
      </c>
      <c r="AG80" s="1"/>
      <c r="AH80" s="1">
        <f t="shared" si="17"/>
        <v>610279.73461758</v>
      </c>
      <c r="AI80" s="1">
        <v>77</v>
      </c>
    </row>
    <row r="81" s="1" customFormat="1" spans="3:35">
      <c r="C81" s="2">
        <v>78</v>
      </c>
      <c r="D81" s="2">
        <v>283191</v>
      </c>
      <c r="E81" s="2">
        <v>138358</v>
      </c>
      <c r="F81" s="2">
        <v>144833</v>
      </c>
      <c r="G81" s="3">
        <v>6.45364563073884e-7</v>
      </c>
      <c r="H81" s="3">
        <v>48.01</v>
      </c>
      <c r="I81" s="13" t="s">
        <v>79</v>
      </c>
      <c r="J81" s="3">
        <f t="shared" si="9"/>
        <v>293589.798258846</v>
      </c>
      <c r="K81" s="1">
        <v>78</v>
      </c>
      <c r="L81" s="1"/>
      <c r="M81" s="1">
        <f t="shared" si="10"/>
        <v>339362.60821669</v>
      </c>
      <c r="O81" s="1">
        <v>78</v>
      </c>
      <c r="P81" s="1">
        <f t="shared" si="11"/>
        <v>300178.957041198</v>
      </c>
      <c r="Q81" s="1">
        <v>78</v>
      </c>
      <c r="R81" s="1"/>
      <c r="S81" s="1">
        <f t="shared" si="12"/>
        <v>355556.792087236</v>
      </c>
      <c r="T81" s="1">
        <v>78</v>
      </c>
      <c r="U81" s="1"/>
      <c r="V81" s="1">
        <f t="shared" si="13"/>
        <v>401036.532206305</v>
      </c>
      <c r="W81" s="1">
        <v>78</v>
      </c>
      <c r="X81" s="1"/>
      <c r="Y81" s="1">
        <f t="shared" si="14"/>
        <v>432399.48622864</v>
      </c>
      <c r="Z81" s="1">
        <v>78</v>
      </c>
      <c r="AA81" s="1"/>
      <c r="AB81" s="1">
        <f t="shared" si="15"/>
        <v>494991.145736839</v>
      </c>
      <c r="AC81" s="1">
        <v>78</v>
      </c>
      <c r="AD81" s="1"/>
      <c r="AE81" s="1">
        <f t="shared" si="16"/>
        <v>476654.655468046</v>
      </c>
      <c r="AF81" s="1">
        <v>78</v>
      </c>
      <c r="AG81" s="1"/>
      <c r="AH81" s="1">
        <f t="shared" si="17"/>
        <v>481785.755887906</v>
      </c>
      <c r="AI81" s="1">
        <v>78</v>
      </c>
    </row>
    <row r="82" s="1" customFormat="1" spans="3:35">
      <c r="C82" s="2">
        <v>79</v>
      </c>
      <c r="D82" s="2">
        <v>297634</v>
      </c>
      <c r="E82" s="2">
        <v>143651</v>
      </c>
      <c r="F82" s="2">
        <v>153983</v>
      </c>
      <c r="G82" s="3">
        <v>6.78278746026294e-7</v>
      </c>
      <c r="H82" s="3">
        <v>54.22</v>
      </c>
      <c r="I82" s="13" t="s">
        <v>80</v>
      </c>
      <c r="J82" s="3">
        <f t="shared" si="9"/>
        <v>269594.817328564</v>
      </c>
      <c r="K82" s="1">
        <v>79</v>
      </c>
      <c r="L82" s="1"/>
      <c r="M82" s="1">
        <f t="shared" si="10"/>
        <v>279494.362571987</v>
      </c>
      <c r="O82" s="1">
        <v>79</v>
      </c>
      <c r="P82" s="1">
        <f t="shared" si="11"/>
        <v>323069.590383605</v>
      </c>
      <c r="Q82" s="1">
        <v>79</v>
      </c>
      <c r="R82" s="1"/>
      <c r="S82" s="1">
        <f t="shared" si="12"/>
        <v>285767.171588789</v>
      </c>
      <c r="T82" s="1">
        <v>79</v>
      </c>
      <c r="U82" s="1"/>
      <c r="V82" s="1">
        <f t="shared" si="13"/>
        <v>338486.281035374</v>
      </c>
      <c r="W82" s="1">
        <v>79</v>
      </c>
      <c r="X82" s="1"/>
      <c r="Y82" s="1">
        <f t="shared" si="14"/>
        <v>381782.509480314</v>
      </c>
      <c r="Z82" s="1">
        <v>79</v>
      </c>
      <c r="AA82" s="1"/>
      <c r="AB82" s="1">
        <f t="shared" si="15"/>
        <v>411639.707839497</v>
      </c>
      <c r="AC82" s="1">
        <v>79</v>
      </c>
      <c r="AD82" s="1"/>
      <c r="AE82" s="1">
        <f t="shared" si="16"/>
        <v>471226.301380269</v>
      </c>
      <c r="AF82" s="1">
        <v>79</v>
      </c>
      <c r="AG82" s="1"/>
      <c r="AH82" s="1">
        <f t="shared" si="17"/>
        <v>453770.157843002</v>
      </c>
      <c r="AI82" s="1">
        <v>79</v>
      </c>
    </row>
    <row r="83" s="1" customFormat="1" spans="3:35">
      <c r="C83" s="2">
        <v>80</v>
      </c>
      <c r="D83" s="2">
        <v>260648</v>
      </c>
      <c r="E83" s="2">
        <v>124623</v>
      </c>
      <c r="F83" s="2">
        <v>136025</v>
      </c>
      <c r="G83" s="3">
        <v>5.93991273155154e-7</v>
      </c>
      <c r="H83" s="3">
        <v>60.55</v>
      </c>
      <c r="I83" s="13" t="s">
        <v>81</v>
      </c>
      <c r="J83" s="3">
        <f t="shared" si="9"/>
        <v>281496.082641184</v>
      </c>
      <c r="K83" s="1">
        <v>80</v>
      </c>
      <c r="L83" s="1"/>
      <c r="M83" s="1">
        <f t="shared" si="10"/>
        <v>254977.203472575</v>
      </c>
      <c r="O83" s="1">
        <v>80</v>
      </c>
      <c r="P83" s="1">
        <f t="shared" si="11"/>
        <v>264339.988658248</v>
      </c>
      <c r="Q83" s="1">
        <v>80</v>
      </c>
      <c r="R83" s="1"/>
      <c r="S83" s="1">
        <f t="shared" si="12"/>
        <v>305552.538061769</v>
      </c>
      <c r="T83" s="1">
        <v>80</v>
      </c>
      <c r="U83" s="1"/>
      <c r="V83" s="1">
        <f t="shared" si="13"/>
        <v>270272.681715446</v>
      </c>
      <c r="W83" s="1">
        <v>80</v>
      </c>
      <c r="X83" s="1"/>
      <c r="Y83" s="1">
        <f t="shared" si="14"/>
        <v>320133.325289586</v>
      </c>
      <c r="Z83" s="1">
        <v>80</v>
      </c>
      <c r="AA83" s="1"/>
      <c r="AB83" s="1">
        <f t="shared" si="15"/>
        <v>361082.002861329</v>
      </c>
      <c r="AC83" s="1">
        <v>80</v>
      </c>
      <c r="AD83" s="1"/>
      <c r="AE83" s="1">
        <f t="shared" si="16"/>
        <v>389320.323673975</v>
      </c>
      <c r="AF83" s="1">
        <v>80</v>
      </c>
      <c r="AG83" s="1"/>
      <c r="AH83" s="1">
        <f t="shared" si="17"/>
        <v>445676.091696646</v>
      </c>
      <c r="AI83" s="1">
        <v>80</v>
      </c>
    </row>
    <row r="84" s="1" customFormat="1" spans="3:35">
      <c r="C84" s="2">
        <v>81</v>
      </c>
      <c r="D84" s="2">
        <v>230857</v>
      </c>
      <c r="E84" s="2">
        <v>107263</v>
      </c>
      <c r="F84" s="2">
        <v>123594</v>
      </c>
      <c r="G84" s="3">
        <v>5.26100500854714e-7</v>
      </c>
      <c r="H84" s="3">
        <v>68.97</v>
      </c>
      <c r="I84" s="13" t="s">
        <v>82</v>
      </c>
      <c r="J84" s="3">
        <f t="shared" si="9"/>
        <v>244865.608777363</v>
      </c>
      <c r="K84" s="1">
        <v>81</v>
      </c>
      <c r="L84" s="1"/>
      <c r="M84" s="1">
        <f t="shared" si="10"/>
        <v>264451.327631044</v>
      </c>
      <c r="O84" s="1">
        <v>81</v>
      </c>
      <c r="P84" s="1">
        <f t="shared" si="11"/>
        <v>239538.182348077</v>
      </c>
      <c r="Q84" s="1">
        <v>81</v>
      </c>
      <c r="R84" s="1"/>
      <c r="S84" s="1">
        <f t="shared" si="12"/>
        <v>248334.045329344</v>
      </c>
      <c r="T84" s="1">
        <v>81</v>
      </c>
      <c r="U84" s="1"/>
      <c r="V84" s="1">
        <f t="shared" si="13"/>
        <v>287051.150386588</v>
      </c>
      <c r="W84" s="1">
        <v>81</v>
      </c>
      <c r="X84" s="1"/>
      <c r="Y84" s="1">
        <f t="shared" si="14"/>
        <v>253907.510297961</v>
      </c>
      <c r="Z84" s="1">
        <v>81</v>
      </c>
      <c r="AA84" s="1"/>
      <c r="AB84" s="1">
        <f t="shared" si="15"/>
        <v>300749.0622869</v>
      </c>
      <c r="AC84" s="1">
        <v>81</v>
      </c>
      <c r="AD84" s="1"/>
      <c r="AE84" s="1">
        <f t="shared" si="16"/>
        <v>339218.273108517</v>
      </c>
      <c r="AF84" s="1">
        <v>81</v>
      </c>
      <c r="AG84" s="1"/>
      <c r="AH84" s="1">
        <f t="shared" si="17"/>
        <v>365746.746822641</v>
      </c>
      <c r="AI84" s="1">
        <v>81</v>
      </c>
    </row>
    <row r="85" s="1" customFormat="1" spans="3:35">
      <c r="C85" s="2">
        <v>82</v>
      </c>
      <c r="D85" s="2">
        <v>251213</v>
      </c>
      <c r="E85" s="2">
        <v>114773</v>
      </c>
      <c r="F85" s="2">
        <v>136440</v>
      </c>
      <c r="G85" s="3">
        <v>5.72489831892535e-7</v>
      </c>
      <c r="H85" s="3">
        <v>77.66</v>
      </c>
      <c r="I85" s="13" t="s">
        <v>83</v>
      </c>
      <c r="J85" s="3">
        <f t="shared" si="9"/>
        <v>214934.671256017</v>
      </c>
      <c r="K85" s="1">
        <v>82</v>
      </c>
      <c r="L85" s="1"/>
      <c r="M85" s="1">
        <f t="shared" si="10"/>
        <v>227977.098916068</v>
      </c>
      <c r="O85" s="1">
        <v>82</v>
      </c>
      <c r="P85" s="1">
        <f t="shared" si="11"/>
        <v>246211.980436355</v>
      </c>
      <c r="Q85" s="1">
        <v>82</v>
      </c>
      <c r="R85" s="1"/>
      <c r="S85" s="1">
        <f t="shared" si="12"/>
        <v>223017.107890372</v>
      </c>
      <c r="T85" s="1">
        <v>82</v>
      </c>
      <c r="U85" s="1"/>
      <c r="V85" s="1">
        <f t="shared" si="13"/>
        <v>231206.315574314</v>
      </c>
      <c r="W85" s="1">
        <v>82</v>
      </c>
      <c r="X85" s="1"/>
      <c r="Y85" s="1">
        <f t="shared" si="14"/>
        <v>267253.081526671</v>
      </c>
      <c r="Z85" s="1">
        <v>82</v>
      </c>
      <c r="AA85" s="1"/>
      <c r="AB85" s="1">
        <f t="shared" si="15"/>
        <v>236395.375731842</v>
      </c>
      <c r="AC85" s="1">
        <v>82</v>
      </c>
      <c r="AD85" s="1"/>
      <c r="AE85" s="1">
        <f t="shared" si="16"/>
        <v>280006.24123674</v>
      </c>
      <c r="AF85" s="1">
        <v>82</v>
      </c>
      <c r="AG85" s="1"/>
      <c r="AH85" s="1">
        <f t="shared" si="17"/>
        <v>315822.21034932</v>
      </c>
      <c r="AI85" s="1">
        <v>82</v>
      </c>
    </row>
    <row r="86" s="1" customFormat="1" spans="3:35">
      <c r="C86" s="2">
        <v>83</v>
      </c>
      <c r="D86" s="2">
        <v>217254</v>
      </c>
      <c r="E86" s="2">
        <v>97584</v>
      </c>
      <c r="F86" s="2">
        <v>119670</v>
      </c>
      <c r="G86" s="3">
        <v>4.95100595661774e-7</v>
      </c>
      <c r="H86" s="3">
        <v>86.2</v>
      </c>
      <c r="I86" s="13" t="s">
        <v>84</v>
      </c>
      <c r="J86" s="3">
        <f t="shared" si="9"/>
        <v>231703.654603112</v>
      </c>
      <c r="K86" s="1">
        <v>83</v>
      </c>
      <c r="L86" s="1"/>
      <c r="M86" s="1">
        <f t="shared" si="10"/>
        <v>198242.721638361</v>
      </c>
      <c r="O86" s="1">
        <v>83</v>
      </c>
      <c r="P86" s="1">
        <f t="shared" si="11"/>
        <v>210272.266899676</v>
      </c>
      <c r="Q86" s="1">
        <v>83</v>
      </c>
      <c r="R86" s="1"/>
      <c r="S86" s="1">
        <f t="shared" si="12"/>
        <v>227091.017081812</v>
      </c>
      <c r="T86" s="1">
        <v>83</v>
      </c>
      <c r="U86" s="1"/>
      <c r="V86" s="1">
        <f t="shared" si="13"/>
        <v>205697.471616579</v>
      </c>
      <c r="W86" s="1">
        <v>83</v>
      </c>
      <c r="X86" s="1"/>
      <c r="Y86" s="1">
        <f t="shared" si="14"/>
        <v>213250.700743548</v>
      </c>
      <c r="Z86" s="1">
        <v>83</v>
      </c>
      <c r="AA86" s="1"/>
      <c r="AB86" s="1">
        <f t="shared" si="15"/>
        <v>246498.054215638</v>
      </c>
      <c r="AC86" s="1">
        <v>83</v>
      </c>
      <c r="AD86" s="1"/>
      <c r="AE86" s="1">
        <f t="shared" si="16"/>
        <v>218036.775518559</v>
      </c>
      <c r="AF86" s="1">
        <v>83</v>
      </c>
      <c r="AG86" s="1"/>
      <c r="AH86" s="1">
        <f t="shared" si="17"/>
        <v>258260.796241569</v>
      </c>
      <c r="AI86" s="1">
        <v>83</v>
      </c>
    </row>
    <row r="87" s="1" customFormat="1" spans="3:35">
      <c r="C87" s="2">
        <v>84</v>
      </c>
      <c r="D87" s="2">
        <v>187524</v>
      </c>
      <c r="E87" s="2">
        <v>81908</v>
      </c>
      <c r="F87" s="2">
        <v>105616</v>
      </c>
      <c r="G87" s="3">
        <v>4.27348836389104e-7</v>
      </c>
      <c r="H87" s="3">
        <v>94.97</v>
      </c>
      <c r="I87" s="13" t="s">
        <v>85</v>
      </c>
      <c r="J87" s="3">
        <f t="shared" si="9"/>
        <v>198526.597637415</v>
      </c>
      <c r="K87" s="1">
        <v>84</v>
      </c>
      <c r="L87" s="1"/>
      <c r="M87" s="1">
        <f t="shared" si="10"/>
        <v>211730.684859706</v>
      </c>
      <c r="O87" s="1">
        <v>84</v>
      </c>
      <c r="P87" s="1">
        <f t="shared" si="11"/>
        <v>181154.100883044</v>
      </c>
      <c r="Q87" s="1">
        <v>84</v>
      </c>
      <c r="R87" s="1"/>
      <c r="S87" s="1">
        <f t="shared" si="12"/>
        <v>192146.693386999</v>
      </c>
      <c r="T87" s="1">
        <v>84</v>
      </c>
      <c r="U87" s="1"/>
      <c r="V87" s="1">
        <f t="shared" si="13"/>
        <v>207515.658976462</v>
      </c>
      <c r="W87" s="1">
        <v>84</v>
      </c>
      <c r="X87" s="1"/>
      <c r="Y87" s="1">
        <f t="shared" si="14"/>
        <v>187966.247722289</v>
      </c>
      <c r="Z87" s="1">
        <v>84</v>
      </c>
      <c r="AA87" s="1"/>
      <c r="AB87" s="1">
        <f t="shared" si="15"/>
        <v>194868.384758905</v>
      </c>
      <c r="AC87" s="1">
        <v>84</v>
      </c>
      <c r="AD87" s="1"/>
      <c r="AE87" s="1">
        <f t="shared" si="16"/>
        <v>225249.799900917</v>
      </c>
      <c r="AF87" s="1">
        <v>84</v>
      </c>
      <c r="AG87" s="1"/>
      <c r="AH87" s="1">
        <f t="shared" si="17"/>
        <v>199241.897518721</v>
      </c>
      <c r="AI87" s="1">
        <v>84</v>
      </c>
    </row>
    <row r="88" s="1" customFormat="1" spans="3:35">
      <c r="C88" s="2">
        <v>85</v>
      </c>
      <c r="D88" s="2">
        <v>145239</v>
      </c>
      <c r="E88" s="2">
        <v>61712</v>
      </c>
      <c r="F88" s="2">
        <v>83527</v>
      </c>
      <c r="G88" s="3">
        <v>3.30985461318643e-7</v>
      </c>
      <c r="H88" s="3">
        <v>106.43</v>
      </c>
      <c r="I88" s="13" t="s">
        <v>86</v>
      </c>
      <c r="J88" s="3">
        <f t="shared" si="9"/>
        <v>169714.765581837</v>
      </c>
      <c r="K88" s="1">
        <v>85</v>
      </c>
      <c r="L88" s="1"/>
      <c r="M88" s="1">
        <f t="shared" si="10"/>
        <v>179672.441819679</v>
      </c>
      <c r="O88" s="1">
        <v>85</v>
      </c>
      <c r="P88" s="1">
        <f t="shared" si="11"/>
        <v>191622.531235718</v>
      </c>
      <c r="Q88" s="1">
        <v>85</v>
      </c>
      <c r="R88" s="1"/>
      <c r="S88" s="1">
        <f t="shared" si="12"/>
        <v>163949.818506187</v>
      </c>
      <c r="T88" s="1">
        <v>85</v>
      </c>
      <c r="U88" s="1"/>
      <c r="V88" s="1">
        <f t="shared" si="13"/>
        <v>173898.43980237</v>
      </c>
      <c r="W88" s="1">
        <v>85</v>
      </c>
      <c r="X88" s="1"/>
      <c r="Y88" s="1">
        <f t="shared" si="14"/>
        <v>187807.808161892</v>
      </c>
      <c r="Z88" s="1">
        <v>85</v>
      </c>
      <c r="AA88" s="1"/>
      <c r="AB88" s="1">
        <f t="shared" si="15"/>
        <v>170115.012848946</v>
      </c>
      <c r="AC88" s="1">
        <v>85</v>
      </c>
      <c r="AD88" s="1"/>
      <c r="AE88" s="1">
        <f t="shared" si="16"/>
        <v>176361.650981574</v>
      </c>
      <c r="AF88" s="1">
        <v>85</v>
      </c>
      <c r="AG88" s="1"/>
      <c r="AH88" s="1">
        <f t="shared" si="17"/>
        <v>203857.730144087</v>
      </c>
      <c r="AI88" s="1">
        <v>85</v>
      </c>
    </row>
    <row r="89" s="1" customFormat="1" spans="3:35">
      <c r="C89" s="2">
        <v>86</v>
      </c>
      <c r="D89" s="2">
        <v>134738</v>
      </c>
      <c r="E89" s="2">
        <v>56055</v>
      </c>
      <c r="F89" s="2">
        <v>78683</v>
      </c>
      <c r="G89" s="3">
        <v>3.07054710423173e-7</v>
      </c>
      <c r="H89" s="3">
        <v>116.17</v>
      </c>
      <c r="I89" s="13" t="s">
        <v>87</v>
      </c>
      <c r="J89" s="3">
        <f t="shared" si="9"/>
        <v>129781.165158003</v>
      </c>
      <c r="K89" s="1">
        <v>86</v>
      </c>
      <c r="L89" s="1"/>
      <c r="M89" s="1">
        <f t="shared" si="10"/>
        <v>151651.966907842</v>
      </c>
      <c r="O89" s="1">
        <v>86</v>
      </c>
      <c r="P89" s="1">
        <f t="shared" si="11"/>
        <v>160549.844367845</v>
      </c>
      <c r="Q89" s="1">
        <v>86</v>
      </c>
      <c r="R89" s="1"/>
      <c r="S89" s="1">
        <f t="shared" si="12"/>
        <v>171228.081812029</v>
      </c>
      <c r="T89" s="1">
        <v>86</v>
      </c>
      <c r="U89" s="1"/>
      <c r="V89" s="1">
        <f t="shared" si="13"/>
        <v>146500.585057568</v>
      </c>
      <c r="W89" s="1">
        <v>86</v>
      </c>
      <c r="X89" s="1"/>
      <c r="Y89" s="1">
        <f t="shared" si="14"/>
        <v>155390.371296348</v>
      </c>
      <c r="Z89" s="1">
        <v>86</v>
      </c>
      <c r="AA89" s="1"/>
      <c r="AB89" s="1">
        <f t="shared" si="15"/>
        <v>167819.360977568</v>
      </c>
      <c r="AC89" s="1">
        <v>86</v>
      </c>
      <c r="AD89" s="1"/>
      <c r="AE89" s="1">
        <f t="shared" si="16"/>
        <v>152009.615725837</v>
      </c>
      <c r="AF89" s="1">
        <v>86</v>
      </c>
      <c r="AG89" s="1"/>
      <c r="AH89" s="1">
        <f t="shared" si="17"/>
        <v>157591.422094463</v>
      </c>
      <c r="AI89" s="1">
        <v>86</v>
      </c>
    </row>
    <row r="90" s="1" customFormat="1" spans="3:35">
      <c r="C90" s="2">
        <v>87</v>
      </c>
      <c r="D90" s="2">
        <v>122677</v>
      </c>
      <c r="E90" s="2">
        <v>51115</v>
      </c>
      <c r="F90" s="2">
        <v>71562</v>
      </c>
      <c r="G90" s="3">
        <v>2.79568872260117e-7</v>
      </c>
      <c r="H90" s="3">
        <v>136.35</v>
      </c>
      <c r="I90" s="13" t="s">
        <v>88</v>
      </c>
      <c r="J90" s="3">
        <f t="shared" si="9"/>
        <v>119085.445168062</v>
      </c>
      <c r="K90" s="1">
        <v>87</v>
      </c>
      <c r="L90" s="1"/>
      <c r="M90" s="1">
        <f t="shared" si="10"/>
        <v>114704.447351679</v>
      </c>
      <c r="O90" s="1">
        <v>87</v>
      </c>
      <c r="P90" s="1">
        <f t="shared" si="11"/>
        <v>134034.511346707</v>
      </c>
      <c r="Q90" s="1">
        <v>87</v>
      </c>
      <c r="R90" s="1"/>
      <c r="S90" s="1">
        <f t="shared" si="12"/>
        <v>141898.719650046</v>
      </c>
      <c r="T90" s="1">
        <v>87</v>
      </c>
      <c r="U90" s="1"/>
      <c r="V90" s="1">
        <f t="shared" si="13"/>
        <v>151336.462971536</v>
      </c>
      <c r="W90" s="1">
        <v>87</v>
      </c>
      <c r="X90" s="1"/>
      <c r="Y90" s="1">
        <f t="shared" si="14"/>
        <v>129481.567107735</v>
      </c>
      <c r="Z90" s="1">
        <v>87</v>
      </c>
      <c r="AA90" s="1"/>
      <c r="AB90" s="1">
        <f t="shared" si="15"/>
        <v>137338.624149506</v>
      </c>
      <c r="AC90" s="1">
        <v>87</v>
      </c>
      <c r="AD90" s="1"/>
      <c r="AE90" s="1">
        <f t="shared" si="16"/>
        <v>148323.734283078</v>
      </c>
      <c r="AF90" s="1">
        <v>87</v>
      </c>
      <c r="AG90" s="1"/>
      <c r="AH90" s="1">
        <f t="shared" si="17"/>
        <v>134350.611991698</v>
      </c>
      <c r="AI90" s="1">
        <v>87</v>
      </c>
    </row>
    <row r="91" s="1" customFormat="1" spans="3:35">
      <c r="C91" s="2">
        <v>88</v>
      </c>
      <c r="D91" s="2">
        <v>89782</v>
      </c>
      <c r="E91" s="2">
        <v>36775</v>
      </c>
      <c r="F91" s="2">
        <v>53007</v>
      </c>
      <c r="G91" s="3">
        <v>2.04604387858016e-7</v>
      </c>
      <c r="H91" s="3">
        <v>141.23</v>
      </c>
      <c r="I91" s="13" t="s">
        <v>89</v>
      </c>
      <c r="J91" s="3">
        <f t="shared" si="9"/>
        <v>105949.956753329</v>
      </c>
      <c r="K91" s="1">
        <v>88</v>
      </c>
      <c r="L91" s="1"/>
      <c r="M91" s="1">
        <f t="shared" si="10"/>
        <v>102848.111426813</v>
      </c>
      <c r="O91" s="1">
        <v>88</v>
      </c>
      <c r="P91" s="1">
        <f t="shared" si="11"/>
        <v>99064.4638874849</v>
      </c>
      <c r="Q91" s="1">
        <v>88</v>
      </c>
      <c r="R91" s="1"/>
      <c r="S91" s="1">
        <f t="shared" si="12"/>
        <v>115758.868252706</v>
      </c>
      <c r="T91" s="1">
        <v>88</v>
      </c>
      <c r="U91" s="1"/>
      <c r="V91" s="1">
        <f t="shared" si="13"/>
        <v>122550.789555297</v>
      </c>
      <c r="W91" s="1">
        <v>88</v>
      </c>
      <c r="X91" s="1"/>
      <c r="Y91" s="1">
        <f t="shared" si="14"/>
        <v>130701.693936403</v>
      </c>
      <c r="Z91" s="1">
        <v>88</v>
      </c>
      <c r="AA91" s="1"/>
      <c r="AB91" s="1">
        <f t="shared" si="15"/>
        <v>111826.71923358</v>
      </c>
      <c r="AC91" s="1">
        <v>88</v>
      </c>
      <c r="AD91" s="1"/>
      <c r="AE91" s="1">
        <f t="shared" si="16"/>
        <v>118612.464351117</v>
      </c>
      <c r="AF91" s="1">
        <v>88</v>
      </c>
      <c r="AG91" s="1"/>
      <c r="AH91" s="1">
        <f t="shared" si="17"/>
        <v>128099.751646882</v>
      </c>
      <c r="AI91" s="1">
        <v>88</v>
      </c>
    </row>
    <row r="92" s="1" customFormat="1" spans="3:35">
      <c r="C92" s="2">
        <v>89</v>
      </c>
      <c r="D92" s="2">
        <v>73131</v>
      </c>
      <c r="E92" s="2">
        <v>29584</v>
      </c>
      <c r="F92" s="2">
        <v>43547</v>
      </c>
      <c r="G92" s="3">
        <v>1.66658389080713e-7</v>
      </c>
      <c r="H92" s="3">
        <v>157.31</v>
      </c>
      <c r="I92" s="13" t="s">
        <v>90</v>
      </c>
      <c r="J92" s="3">
        <f t="shared" si="9"/>
        <v>77102.0697702089</v>
      </c>
      <c r="K92" s="1">
        <v>89</v>
      </c>
      <c r="L92" s="1"/>
      <c r="M92" s="1">
        <f t="shared" si="10"/>
        <v>90986.6226832307</v>
      </c>
      <c r="O92" s="1">
        <v>89</v>
      </c>
      <c r="P92" s="1">
        <f t="shared" si="11"/>
        <v>88322.8516068297</v>
      </c>
      <c r="Q92" s="1">
        <v>89</v>
      </c>
      <c r="R92" s="1"/>
      <c r="S92" s="1">
        <f t="shared" si="12"/>
        <v>85073.5693836314</v>
      </c>
      <c r="T92" s="1">
        <v>89</v>
      </c>
      <c r="U92" s="1"/>
      <c r="V92" s="1">
        <f t="shared" si="13"/>
        <v>99410.2196046043</v>
      </c>
      <c r="W92" s="1">
        <v>89</v>
      </c>
      <c r="X92" s="1"/>
      <c r="Y92" s="1">
        <f t="shared" si="14"/>
        <v>105242.916471974</v>
      </c>
      <c r="Z92" s="1">
        <v>89</v>
      </c>
      <c r="AA92" s="1"/>
      <c r="AB92" s="1">
        <f t="shared" si="15"/>
        <v>112242.666959625</v>
      </c>
      <c r="AC92" s="1">
        <v>89</v>
      </c>
      <c r="AD92" s="1"/>
      <c r="AE92" s="1">
        <f t="shared" si="16"/>
        <v>96033.4087959839</v>
      </c>
      <c r="AF92" s="1">
        <v>89</v>
      </c>
      <c r="AG92" s="1"/>
      <c r="AH92" s="1">
        <f t="shared" si="17"/>
        <v>101860.801742178</v>
      </c>
      <c r="AI92" s="1">
        <v>89</v>
      </c>
    </row>
    <row r="93" s="1" customFormat="1" spans="3:35">
      <c r="C93" s="2">
        <v>90</v>
      </c>
      <c r="D93" s="2">
        <v>63059</v>
      </c>
      <c r="E93" s="2">
        <v>25253</v>
      </c>
      <c r="F93" s="2">
        <v>37806</v>
      </c>
      <c r="G93" s="3">
        <v>1.4370528718383e-7</v>
      </c>
      <c r="H93" s="3">
        <v>180.44</v>
      </c>
      <c r="I93" s="13" t="s">
        <v>91</v>
      </c>
      <c r="J93" s="3">
        <f t="shared" si="9"/>
        <v>61626.7502021053</v>
      </c>
      <c r="K93" s="1">
        <v>90</v>
      </c>
      <c r="L93" s="1"/>
      <c r="M93" s="1">
        <f t="shared" si="10"/>
        <v>64973.1303249506</v>
      </c>
      <c r="O93" s="1">
        <v>90</v>
      </c>
      <c r="P93" s="1">
        <f t="shared" si="11"/>
        <v>76673.5019052477</v>
      </c>
      <c r="Q93" s="1">
        <v>90</v>
      </c>
      <c r="R93" s="1"/>
      <c r="S93" s="1">
        <f t="shared" si="12"/>
        <v>74428.7691008152</v>
      </c>
      <c r="T93" s="1">
        <v>90</v>
      </c>
      <c r="U93" s="1"/>
      <c r="V93" s="1">
        <f t="shared" si="13"/>
        <v>71690.6320056683</v>
      </c>
      <c r="W93" s="1">
        <v>90</v>
      </c>
      <c r="X93" s="1"/>
      <c r="Y93" s="1">
        <f t="shared" si="14"/>
        <v>83771.981391057</v>
      </c>
      <c r="Z93" s="1">
        <v>90</v>
      </c>
      <c r="AA93" s="1"/>
      <c r="AB93" s="1">
        <f t="shared" si="15"/>
        <v>88687.1357421525</v>
      </c>
      <c r="AC93" s="1">
        <v>90</v>
      </c>
      <c r="AD93" s="1"/>
      <c r="AE93" s="1">
        <f t="shared" si="16"/>
        <v>94585.7543140241</v>
      </c>
      <c r="AF93" s="1">
        <v>90</v>
      </c>
      <c r="AG93" s="1"/>
      <c r="AH93" s="1">
        <f t="shared" si="17"/>
        <v>80926.3772535145</v>
      </c>
      <c r="AI93" s="1">
        <v>90</v>
      </c>
    </row>
    <row r="94" s="1" customFormat="1" spans="3:35">
      <c r="C94" s="2">
        <v>91</v>
      </c>
      <c r="D94" s="2">
        <v>41034</v>
      </c>
      <c r="E94" s="2">
        <v>15761</v>
      </c>
      <c r="F94" s="2">
        <v>25273</v>
      </c>
      <c r="G94" s="3">
        <v>9.35124685501084e-8</v>
      </c>
      <c r="H94" s="3">
        <v>192.88</v>
      </c>
      <c r="I94" s="13" t="s">
        <v>92</v>
      </c>
      <c r="J94" s="3">
        <f t="shared" si="9"/>
        <v>51680.6249780883</v>
      </c>
      <c r="K94" s="1">
        <v>91</v>
      </c>
      <c r="L94" s="1"/>
      <c r="M94" s="1">
        <f t="shared" si="10"/>
        <v>50506.8105395476</v>
      </c>
      <c r="O94" s="1">
        <v>91</v>
      </c>
      <c r="P94" s="1">
        <f t="shared" si="11"/>
        <v>53249.3693521341</v>
      </c>
      <c r="Q94" s="1">
        <v>91</v>
      </c>
      <c r="R94" s="1"/>
      <c r="S94" s="1">
        <f t="shared" si="12"/>
        <v>62838.5242030772</v>
      </c>
      <c r="T94" s="1">
        <v>91</v>
      </c>
      <c r="U94" s="1"/>
      <c r="V94" s="1">
        <f t="shared" si="13"/>
        <v>60998.8313084565</v>
      </c>
      <c r="W94" s="1">
        <v>91</v>
      </c>
      <c r="X94" s="1"/>
      <c r="Y94" s="1">
        <f t="shared" si="14"/>
        <v>58754.7640642427</v>
      </c>
      <c r="Z94" s="1">
        <v>91</v>
      </c>
      <c r="AA94" s="1"/>
      <c r="AB94" s="1">
        <f t="shared" si="15"/>
        <v>68656.153030378</v>
      </c>
      <c r="AC94" s="1">
        <v>91</v>
      </c>
      <c r="AD94" s="1"/>
      <c r="AE94" s="1">
        <f t="shared" si="16"/>
        <v>72684.4162240282</v>
      </c>
      <c r="AF94" s="1">
        <v>91</v>
      </c>
      <c r="AG94" s="1"/>
      <c r="AH94" s="1">
        <f t="shared" si="17"/>
        <v>77518.6872131286</v>
      </c>
      <c r="AI94" s="1">
        <v>91</v>
      </c>
    </row>
    <row r="95" s="1" customFormat="1" spans="3:35">
      <c r="C95" s="2">
        <v>92</v>
      </c>
      <c r="D95" s="2">
        <v>36520</v>
      </c>
      <c r="E95" s="2">
        <v>13634</v>
      </c>
      <c r="F95" s="2">
        <v>22886</v>
      </c>
      <c r="G95" s="3">
        <v>8.32255044950517e-8</v>
      </c>
      <c r="H95" s="3">
        <v>205.48</v>
      </c>
      <c r="I95" s="13" t="s">
        <v>93</v>
      </c>
      <c r="J95" s="3">
        <f t="shared" si="9"/>
        <v>33119.3582428094</v>
      </c>
      <c r="K95" s="1">
        <v>92</v>
      </c>
      <c r="L95" s="1"/>
      <c r="M95" s="1">
        <f t="shared" si="10"/>
        <v>41712.4611995318</v>
      </c>
      <c r="O95" s="1">
        <v>92</v>
      </c>
      <c r="P95" s="1">
        <f t="shared" si="11"/>
        <v>40765.0521996631</v>
      </c>
      <c r="Q95" s="1">
        <v>92</v>
      </c>
      <c r="R95" s="1"/>
      <c r="S95" s="1">
        <f t="shared" si="12"/>
        <v>42978.6260120145</v>
      </c>
      <c r="T95" s="1">
        <v>92</v>
      </c>
      <c r="U95" s="1"/>
      <c r="V95" s="1">
        <f t="shared" si="13"/>
        <v>50718.2237786022</v>
      </c>
      <c r="W95" s="1">
        <v>92</v>
      </c>
      <c r="X95" s="1"/>
      <c r="Y95" s="1">
        <f t="shared" si="14"/>
        <v>49233.3710215301</v>
      </c>
      <c r="Z95" s="1">
        <v>92</v>
      </c>
      <c r="AA95" s="1"/>
      <c r="AB95" s="1">
        <f t="shared" si="15"/>
        <v>47422.1396772285</v>
      </c>
      <c r="AC95" s="1">
        <v>92</v>
      </c>
      <c r="AD95" s="1"/>
      <c r="AE95" s="1">
        <f t="shared" si="16"/>
        <v>55413.7478136723</v>
      </c>
      <c r="AF95" s="1">
        <v>92</v>
      </c>
      <c r="AG95" s="1"/>
      <c r="AH95" s="1">
        <f t="shared" si="17"/>
        <v>58665.0392258384</v>
      </c>
      <c r="AI95" s="1">
        <v>92</v>
      </c>
    </row>
    <row r="96" s="1" customFormat="1" spans="3:35">
      <c r="C96" s="2">
        <v>93</v>
      </c>
      <c r="D96" s="2">
        <v>25429</v>
      </c>
      <c r="E96" s="2">
        <v>9394</v>
      </c>
      <c r="F96" s="2">
        <v>16035</v>
      </c>
      <c r="G96" s="3">
        <v>5.79502013637641e-8</v>
      </c>
      <c r="H96" s="3">
        <v>219.26</v>
      </c>
      <c r="I96" s="13" t="s">
        <v>94</v>
      </c>
      <c r="J96" s="3">
        <f t="shared" si="9"/>
        <v>29015.8673606046</v>
      </c>
      <c r="K96" s="1">
        <v>93</v>
      </c>
      <c r="L96" s="1"/>
      <c r="M96" s="1">
        <f t="shared" si="10"/>
        <v>26313.9897547016</v>
      </c>
      <c r="O96" s="1">
        <v>93</v>
      </c>
      <c r="P96" s="1">
        <f t="shared" si="11"/>
        <v>33141.3812007114</v>
      </c>
      <c r="Q96" s="1">
        <v>93</v>
      </c>
      <c r="R96" s="1"/>
      <c r="S96" s="1">
        <f t="shared" si="12"/>
        <v>32388.6458809843</v>
      </c>
      <c r="T96" s="1">
        <v>93</v>
      </c>
      <c r="U96" s="1"/>
      <c r="V96" s="1">
        <f t="shared" si="13"/>
        <v>34147.3743621479</v>
      </c>
      <c r="W96" s="1">
        <v>93</v>
      </c>
      <c r="X96" s="1"/>
      <c r="Y96" s="1">
        <f t="shared" si="14"/>
        <v>40296.6389355252</v>
      </c>
      <c r="Z96" s="1">
        <v>93</v>
      </c>
      <c r="AA96" s="1"/>
      <c r="AB96" s="1">
        <f t="shared" si="15"/>
        <v>39116.8938465539</v>
      </c>
      <c r="AC96" s="1">
        <v>93</v>
      </c>
      <c r="AD96" s="1"/>
      <c r="AE96" s="1">
        <f t="shared" si="16"/>
        <v>37677.8344696201</v>
      </c>
      <c r="AF96" s="1">
        <v>93</v>
      </c>
      <c r="AG96" s="1"/>
      <c r="AH96" s="1">
        <f t="shared" si="17"/>
        <v>44027.3263010818</v>
      </c>
      <c r="AI96" s="1">
        <v>93</v>
      </c>
    </row>
    <row r="97" s="1" customFormat="1" spans="3:35">
      <c r="C97" s="2">
        <v>94</v>
      </c>
      <c r="D97" s="2">
        <v>16608</v>
      </c>
      <c r="E97" s="2">
        <v>5953</v>
      </c>
      <c r="F97" s="2">
        <v>10655</v>
      </c>
      <c r="G97" s="3">
        <v>3.78480059872349e-8</v>
      </c>
      <c r="H97" s="3">
        <v>242.67</v>
      </c>
      <c r="I97" s="13" t="s">
        <v>95</v>
      </c>
      <c r="J97" s="3">
        <f t="shared" si="9"/>
        <v>19853.4359863843</v>
      </c>
      <c r="K97" s="1">
        <v>94</v>
      </c>
      <c r="L97" s="1"/>
      <c r="M97" s="1">
        <f t="shared" si="10"/>
        <v>22653.8466016431</v>
      </c>
      <c r="O97" s="1">
        <v>94</v>
      </c>
      <c r="P97" s="1">
        <f t="shared" si="11"/>
        <v>20544.3828361847</v>
      </c>
      <c r="Q97" s="1">
        <v>94</v>
      </c>
      <c r="R97" s="1"/>
      <c r="S97" s="1">
        <f t="shared" si="12"/>
        <v>25874.8000380937</v>
      </c>
      <c r="T97" s="1">
        <v>94</v>
      </c>
      <c r="U97" s="1"/>
      <c r="V97" s="1">
        <f t="shared" si="13"/>
        <v>25287.1095081911</v>
      </c>
      <c r="W97" s="1">
        <v>94</v>
      </c>
      <c r="X97" s="1"/>
      <c r="Y97" s="1">
        <f t="shared" si="14"/>
        <v>26660.2190806562</v>
      </c>
      <c r="Z97" s="1">
        <v>94</v>
      </c>
      <c r="AA97" s="1"/>
      <c r="AB97" s="1">
        <f t="shared" si="15"/>
        <v>31461.1955473236</v>
      </c>
      <c r="AC97" s="1">
        <v>94</v>
      </c>
      <c r="AD97" s="1"/>
      <c r="AE97" s="1">
        <f t="shared" si="16"/>
        <v>30540.1214349266</v>
      </c>
      <c r="AF97" s="1">
        <v>94</v>
      </c>
      <c r="AG97" s="1"/>
      <c r="AH97" s="1">
        <f t="shared" si="17"/>
        <v>29416.5903003731</v>
      </c>
      <c r="AI97" s="1">
        <v>94</v>
      </c>
    </row>
    <row r="98" s="1" customFormat="1" spans="3:35">
      <c r="C98" s="2">
        <v>95</v>
      </c>
      <c r="D98" s="2">
        <v>12882</v>
      </c>
      <c r="E98" s="2">
        <v>4515</v>
      </c>
      <c r="F98" s="2">
        <v>8367</v>
      </c>
      <c r="G98" s="3">
        <v>2.93568167827288e-8</v>
      </c>
      <c r="H98" s="3">
        <v>249.17</v>
      </c>
      <c r="I98" s="13" t="s">
        <v>96</v>
      </c>
      <c r="J98" s="3">
        <f t="shared" si="9"/>
        <v>12577.7360114203</v>
      </c>
      <c r="K98" s="1">
        <v>95</v>
      </c>
      <c r="L98" s="1"/>
      <c r="M98" s="1">
        <f t="shared" si="10"/>
        <v>15035.6019241555</v>
      </c>
      <c r="O98" s="1">
        <v>95</v>
      </c>
      <c r="P98" s="1">
        <f t="shared" si="11"/>
        <v>17156.4367894194</v>
      </c>
      <c r="Q98" s="1">
        <v>95</v>
      </c>
      <c r="R98" s="1"/>
      <c r="S98" s="1">
        <f t="shared" si="12"/>
        <v>15558.8766757638</v>
      </c>
      <c r="T98" s="1">
        <v>95</v>
      </c>
      <c r="U98" s="1"/>
      <c r="V98" s="1">
        <f t="shared" si="13"/>
        <v>19595.7613335399</v>
      </c>
      <c r="W98" s="1">
        <v>95</v>
      </c>
      <c r="X98" s="1"/>
      <c r="Y98" s="1">
        <f t="shared" si="14"/>
        <v>19150.6856867717</v>
      </c>
      <c r="Z98" s="1">
        <v>95</v>
      </c>
      <c r="AA98" s="1"/>
      <c r="AB98" s="1">
        <f t="shared" si="15"/>
        <v>20190.5827073172</v>
      </c>
      <c r="AC98" s="1">
        <v>95</v>
      </c>
      <c r="AD98" s="1"/>
      <c r="AE98" s="1">
        <f t="shared" si="16"/>
        <v>23826.5060331111</v>
      </c>
      <c r="AF98" s="1">
        <v>95</v>
      </c>
      <c r="AG98" s="1"/>
      <c r="AH98" s="1">
        <f t="shared" si="17"/>
        <v>23128.9490104303</v>
      </c>
      <c r="AI98" s="1">
        <v>95</v>
      </c>
    </row>
    <row r="99" s="1" customFormat="1" spans="3:35">
      <c r="C99" s="2">
        <v>96</v>
      </c>
      <c r="D99" s="2">
        <v>9768</v>
      </c>
      <c r="E99" s="2">
        <v>3289</v>
      </c>
      <c r="F99" s="2">
        <v>6479</v>
      </c>
      <c r="G99" s="3">
        <v>2.22603156601223e-8</v>
      </c>
      <c r="H99" s="3">
        <v>253.99</v>
      </c>
      <c r="I99" s="13" t="s">
        <v>97</v>
      </c>
      <c r="J99" s="3">
        <f t="shared" si="9"/>
        <v>9672.19168182549</v>
      </c>
      <c r="K99" s="1">
        <v>96</v>
      </c>
      <c r="L99" s="1"/>
      <c r="M99" s="1">
        <f t="shared" si="10"/>
        <v>9443.74116021243</v>
      </c>
      <c r="O99" s="1">
        <v>96</v>
      </c>
      <c r="P99" s="1">
        <f t="shared" si="11"/>
        <v>11289.1805513162</v>
      </c>
      <c r="Q99" s="1">
        <v>96</v>
      </c>
      <c r="R99" s="1"/>
      <c r="S99" s="1">
        <f t="shared" si="12"/>
        <v>12881.5669309414</v>
      </c>
      <c r="T99" s="1">
        <v>96</v>
      </c>
      <c r="U99" s="1"/>
      <c r="V99" s="1">
        <f t="shared" si="13"/>
        <v>11682.0709177047</v>
      </c>
      <c r="W99" s="1">
        <v>96</v>
      </c>
      <c r="X99" s="1"/>
      <c r="Y99" s="1">
        <f t="shared" si="14"/>
        <v>14713.0849067926</v>
      </c>
      <c r="Z99" s="1">
        <v>96</v>
      </c>
      <c r="AA99" s="1"/>
      <c r="AB99" s="1">
        <f t="shared" si="15"/>
        <v>14378.9087719956</v>
      </c>
      <c r="AC99" s="1">
        <v>96</v>
      </c>
      <c r="AD99" s="1"/>
      <c r="AE99" s="1">
        <f t="shared" si="16"/>
        <v>15159.6946214037</v>
      </c>
      <c r="AF99" s="1">
        <v>96</v>
      </c>
      <c r="AG99" s="1"/>
      <c r="AH99" s="1">
        <f t="shared" si="17"/>
        <v>17889.6548253704</v>
      </c>
      <c r="AI99" s="1">
        <v>96</v>
      </c>
    </row>
    <row r="100" s="1" customFormat="1" spans="3:35">
      <c r="C100" s="2">
        <v>97</v>
      </c>
      <c r="D100" s="2">
        <v>5668</v>
      </c>
      <c r="E100" s="2">
        <v>1706</v>
      </c>
      <c r="F100" s="2">
        <v>3962</v>
      </c>
      <c r="G100" s="3">
        <v>1.29168170722331e-8</v>
      </c>
      <c r="H100" s="3">
        <v>256.36</v>
      </c>
      <c r="I100" s="13" t="s">
        <v>98</v>
      </c>
      <c r="J100" s="3">
        <f t="shared" si="9"/>
        <v>7287.02546256124</v>
      </c>
      <c r="K100" s="1">
        <v>97</v>
      </c>
      <c r="L100" s="1"/>
      <c r="M100" s="1">
        <f t="shared" si="10"/>
        <v>7215.55150125259</v>
      </c>
      <c r="O100" s="1">
        <v>97</v>
      </c>
      <c r="P100" s="1">
        <f t="shared" si="11"/>
        <v>7045.12513270941</v>
      </c>
      <c r="Q100" s="1">
        <v>97</v>
      </c>
      <c r="R100" s="1"/>
      <c r="S100" s="1">
        <f t="shared" si="12"/>
        <v>8421.84133178671</v>
      </c>
      <c r="T100" s="1">
        <v>97</v>
      </c>
      <c r="U100" s="1"/>
      <c r="V100" s="1">
        <f t="shared" si="13"/>
        <v>9609.77745940385</v>
      </c>
      <c r="W100" s="1">
        <v>97</v>
      </c>
      <c r="X100" s="1"/>
      <c r="Y100" s="1">
        <f t="shared" si="14"/>
        <v>8714.94146527028</v>
      </c>
      <c r="Z100" s="1">
        <v>97</v>
      </c>
      <c r="AA100" s="1"/>
      <c r="AB100" s="1">
        <f t="shared" si="15"/>
        <v>10976.1081437984</v>
      </c>
      <c r="AC100" s="1">
        <v>97</v>
      </c>
      <c r="AD100" s="1"/>
      <c r="AE100" s="1">
        <f t="shared" si="16"/>
        <v>10726.8094129174</v>
      </c>
      <c r="AF100" s="1">
        <v>97</v>
      </c>
      <c r="AG100" s="1"/>
      <c r="AH100" s="1">
        <f t="shared" si="17"/>
        <v>11309.2834470538</v>
      </c>
      <c r="AI100" s="1">
        <v>97</v>
      </c>
    </row>
    <row r="101" s="1" customFormat="1" spans="3:35">
      <c r="C101" s="2">
        <v>98</v>
      </c>
      <c r="D101" s="2">
        <v>3664</v>
      </c>
      <c r="E101" s="2">
        <v>1155</v>
      </c>
      <c r="F101" s="2">
        <v>2509</v>
      </c>
      <c r="G101" s="3">
        <v>8.34989727464045e-9</v>
      </c>
      <c r="H101" s="3">
        <v>275.31</v>
      </c>
      <c r="I101" s="13" t="s">
        <v>99</v>
      </c>
      <c r="J101" s="3">
        <f t="shared" si="9"/>
        <v>4214.95144678748</v>
      </c>
      <c r="K101" s="1">
        <v>98</v>
      </c>
      <c r="L101" s="1"/>
      <c r="M101" s="1">
        <f t="shared" si="10"/>
        <v>5418.92352085386</v>
      </c>
      <c r="O101" s="1">
        <v>98</v>
      </c>
      <c r="P101" s="1">
        <f t="shared" si="11"/>
        <v>5365.77262518952</v>
      </c>
      <c r="Q101" s="1">
        <v>98</v>
      </c>
      <c r="R101" s="1"/>
      <c r="S101" s="1">
        <f t="shared" si="12"/>
        <v>5239.03676268743</v>
      </c>
      <c r="T101" s="1">
        <v>98</v>
      </c>
      <c r="U101" s="1"/>
      <c r="V101" s="1">
        <f t="shared" si="13"/>
        <v>6262.81797918649</v>
      </c>
      <c r="W101" s="1">
        <v>98</v>
      </c>
      <c r="X101" s="1"/>
      <c r="Y101" s="1">
        <f t="shared" si="14"/>
        <v>7146.21478578335</v>
      </c>
      <c r="Z101" s="1">
        <v>98</v>
      </c>
      <c r="AA101" s="1"/>
      <c r="AB101" s="1">
        <f t="shared" si="15"/>
        <v>6480.77895866429</v>
      </c>
      <c r="AC101" s="1">
        <v>98</v>
      </c>
      <c r="AD101" s="1"/>
      <c r="AE101" s="1">
        <f t="shared" si="16"/>
        <v>8162.27291827788</v>
      </c>
      <c r="AF101" s="1">
        <v>98</v>
      </c>
      <c r="AG101" s="1"/>
      <c r="AH101" s="1">
        <f t="shared" si="17"/>
        <v>7976.88441326568</v>
      </c>
      <c r="AI101" s="1">
        <v>98</v>
      </c>
    </row>
    <row r="102" s="1" customFormat="1" spans="3:35">
      <c r="C102" s="2">
        <v>99</v>
      </c>
      <c r="D102" s="2">
        <v>2974</v>
      </c>
      <c r="E102" s="2">
        <v>907</v>
      </c>
      <c r="F102" s="2">
        <v>2067</v>
      </c>
      <c r="G102" s="3">
        <v>6.77745482936153e-9</v>
      </c>
      <c r="H102" s="3">
        <v>245.44</v>
      </c>
      <c r="I102" s="13" t="s">
        <v>100</v>
      </c>
      <c r="J102" s="3">
        <f t="shared" si="9"/>
        <v>2655.26412940598</v>
      </c>
      <c r="K102" s="1">
        <v>99</v>
      </c>
      <c r="L102" s="1"/>
      <c r="M102" s="1">
        <f t="shared" si="10"/>
        <v>3054.53312877801</v>
      </c>
      <c r="O102" s="1">
        <v>99</v>
      </c>
      <c r="P102" s="1">
        <f t="shared" si="11"/>
        <v>3927.03964108013</v>
      </c>
      <c r="Q102" s="1">
        <v>99</v>
      </c>
      <c r="R102" s="1"/>
      <c r="S102" s="1">
        <f t="shared" si="12"/>
        <v>3888.52171894494</v>
      </c>
      <c r="T102" s="1">
        <v>99</v>
      </c>
      <c r="U102" s="1"/>
      <c r="V102" s="1">
        <f t="shared" si="13"/>
        <v>3796.67750780654</v>
      </c>
      <c r="W102" s="1">
        <v>99</v>
      </c>
      <c r="X102" s="1"/>
      <c r="Y102" s="1">
        <f t="shared" si="14"/>
        <v>4538.60150904277</v>
      </c>
      <c r="Z102" s="1">
        <v>99</v>
      </c>
      <c r="AA102" s="1"/>
      <c r="AB102" s="1">
        <f t="shared" si="15"/>
        <v>5178.79033343917</v>
      </c>
      <c r="AC102" s="1">
        <v>99</v>
      </c>
      <c r="AD102" s="1"/>
      <c r="AE102" s="1">
        <f t="shared" si="16"/>
        <v>4696.55564944058</v>
      </c>
      <c r="AF102" s="1">
        <v>99</v>
      </c>
      <c r="AG102" s="1"/>
      <c r="AH102" s="1">
        <f t="shared" si="17"/>
        <v>5915.11749299266</v>
      </c>
      <c r="AI102" s="1">
        <v>99</v>
      </c>
    </row>
    <row r="103" s="1" customFormat="1" spans="3:35">
      <c r="C103" s="2" t="s">
        <v>101</v>
      </c>
      <c r="D103" s="2">
        <v>3358</v>
      </c>
      <c r="E103" s="2">
        <v>859</v>
      </c>
      <c r="F103" s="2">
        <v>2499</v>
      </c>
      <c r="G103" s="3">
        <v>7.65255323369067e-9</v>
      </c>
      <c r="H103" s="3">
        <v>376.7</v>
      </c>
      <c r="I103" s="13" t="s">
        <v>102</v>
      </c>
      <c r="J103" s="3">
        <f t="shared" si="9"/>
        <v>2244.06141984385</v>
      </c>
      <c r="K103" s="1">
        <v>100</v>
      </c>
      <c r="L103" s="1"/>
      <c r="M103" s="1">
        <f t="shared" si="10"/>
        <v>2003.55608348864</v>
      </c>
      <c r="O103" s="1">
        <v>100</v>
      </c>
      <c r="P103" s="1">
        <f t="shared" si="11"/>
        <v>2304.82849694877</v>
      </c>
      <c r="Q103" s="1">
        <v>100</v>
      </c>
      <c r="R103" s="1"/>
      <c r="S103" s="1">
        <f t="shared" si="12"/>
        <v>2963.18700495809</v>
      </c>
      <c r="T103" s="1">
        <v>100</v>
      </c>
      <c r="U103" s="1"/>
      <c r="V103" s="1">
        <f t="shared" si="13"/>
        <v>2934.12292189281</v>
      </c>
      <c r="W103" s="1">
        <v>100</v>
      </c>
      <c r="X103" s="1"/>
      <c r="Y103" s="1">
        <f t="shared" si="14"/>
        <v>2864.82095455869</v>
      </c>
      <c r="Z103" s="1">
        <v>100</v>
      </c>
      <c r="AA103" s="1"/>
      <c r="AB103" s="1">
        <f t="shared" si="15"/>
        <v>3424.64712390314</v>
      </c>
      <c r="AC103" s="1">
        <v>100</v>
      </c>
      <c r="AD103" s="1"/>
      <c r="AE103" s="1">
        <f t="shared" si="16"/>
        <v>3907.70799890084</v>
      </c>
      <c r="AF103" s="1">
        <v>100</v>
      </c>
      <c r="AG103" s="1"/>
      <c r="AH103" s="1">
        <f t="shared" si="17"/>
        <v>3543.83299901119</v>
      </c>
      <c r="AI103" s="1">
        <v>100</v>
      </c>
    </row>
    <row r="104" s="1" customFormat="1" spans="3:35">
      <c r="C104" s="2">
        <v>101</v>
      </c>
      <c r="D104" s="2">
        <v>66444864</v>
      </c>
      <c r="E104" s="2"/>
      <c r="F104" s="2"/>
      <c r="G104" s="3"/>
      <c r="H104" s="3"/>
      <c r="I104" s="3"/>
      <c r="J104" s="3">
        <f t="shared" si="9"/>
        <v>2093.04137430273</v>
      </c>
      <c r="K104" s="1">
        <v>101</v>
      </c>
      <c r="L104" s="1"/>
      <c r="M104" s="1">
        <f t="shared" si="10"/>
        <v>1398.72346581587</v>
      </c>
      <c r="O104" s="1">
        <v>101</v>
      </c>
      <c r="P104" s="1">
        <f t="shared" si="11"/>
        <v>1248.81649150615</v>
      </c>
      <c r="Q104" s="1">
        <v>101</v>
      </c>
      <c r="R104" s="1"/>
      <c r="S104" s="1">
        <f t="shared" si="12"/>
        <v>1436.59958451035</v>
      </c>
      <c r="T104" s="1">
        <v>101</v>
      </c>
      <c r="U104" s="1"/>
      <c r="V104" s="1">
        <f t="shared" si="13"/>
        <v>1846.95443751443</v>
      </c>
      <c r="W104" s="1">
        <v>101</v>
      </c>
      <c r="X104" s="1"/>
      <c r="Y104" s="1">
        <f t="shared" si="14"/>
        <v>1828.83879476226</v>
      </c>
      <c r="Z104" s="1">
        <v>101</v>
      </c>
      <c r="AA104" s="1"/>
      <c r="AB104" s="1">
        <f t="shared" si="15"/>
        <v>1785.64287905324</v>
      </c>
      <c r="AC104" s="1">
        <v>101</v>
      </c>
      <c r="AD104" s="1"/>
      <c r="AE104" s="1">
        <f t="shared" si="16"/>
        <v>2134.58252612154</v>
      </c>
      <c r="AF104" s="1">
        <v>101</v>
      </c>
      <c r="AG104" s="1"/>
      <c r="AH104" s="1">
        <f t="shared" si="17"/>
        <v>2435.67436581095</v>
      </c>
      <c r="AI104" s="1">
        <v>101</v>
      </c>
    </row>
    <row r="105" s="1" customFormat="1" spans="3:35">
      <c r="C105" s="2">
        <v>102</v>
      </c>
      <c r="D105" s="2"/>
      <c r="E105" s="2"/>
      <c r="F105" s="2"/>
      <c r="G105" s="3"/>
      <c r="H105" s="3"/>
      <c r="I105" s="3"/>
      <c r="J105" s="6">
        <f>SUM(J3:J104)</f>
        <v>66438190.3482559</v>
      </c>
      <c r="M105" s="1">
        <f>J104*(1-G103-I103)</f>
        <v>1304.59267258578</v>
      </c>
      <c r="O105" s="1">
        <v>102</v>
      </c>
      <c r="P105" s="1">
        <f>M104*(1-G103-I103)</f>
        <v>871.824325539227</v>
      </c>
      <c r="Q105" s="1">
        <v>102</v>
      </c>
      <c r="R105" s="1"/>
      <c r="S105" s="1">
        <f>P104*(1-G103-I103)</f>
        <v>778.387309599149</v>
      </c>
      <c r="T105" s="1">
        <v>102</v>
      </c>
      <c r="U105" s="1"/>
      <c r="V105" s="1">
        <f>S104*(1-G103-I103)</f>
        <v>895.432510031645</v>
      </c>
      <c r="W105" s="1">
        <v>102</v>
      </c>
      <c r="X105" s="1"/>
      <c r="Y105" s="1">
        <f>V104*(1-G103-I103)</f>
        <v>1151.20668676883</v>
      </c>
      <c r="Z105" s="1">
        <v>102</v>
      </c>
      <c r="AA105" s="1"/>
      <c r="AB105" s="1">
        <f>Y104*(1-G103-I103)</f>
        <v>1139.91520678003</v>
      </c>
      <c r="AC105" s="1">
        <v>102</v>
      </c>
      <c r="AD105" s="1"/>
      <c r="AE105" s="1">
        <f>AB104*(1-G103-I103)</f>
        <v>1112.99119284916</v>
      </c>
      <c r="AF105" s="1">
        <v>102</v>
      </c>
      <c r="AG105" s="1"/>
      <c r="AH105" s="1">
        <f>AE104*(1-G103-I103)</f>
        <v>1330.48527219655</v>
      </c>
      <c r="AI105" s="1">
        <v>102</v>
      </c>
    </row>
    <row r="106" s="1" customFormat="1" spans="3:35">
      <c r="C106" s="2"/>
      <c r="D106" s="2"/>
      <c r="E106" s="2"/>
      <c r="F106" s="2"/>
      <c r="G106" s="3"/>
      <c r="H106" s="3"/>
      <c r="I106" s="3"/>
      <c r="J106" s="6">
        <f>J105/10000</f>
        <v>6643.81903482559</v>
      </c>
      <c r="M106" s="7">
        <f>SUM(M3:M105)/10000</f>
        <v>6639.8310155045</v>
      </c>
      <c r="P106" s="1">
        <f>M105*(1-G103-I103)</f>
        <v>813.152602839251</v>
      </c>
      <c r="Q106" s="1">
        <v>103</v>
      </c>
      <c r="R106" s="1"/>
      <c r="S106" s="1">
        <f>P105*(1-G103-I103)</f>
        <v>543.408095436918</v>
      </c>
      <c r="T106" s="1">
        <v>103</v>
      </c>
      <c r="U106" s="1"/>
      <c r="V106" s="1">
        <f>S105*(1-G103-I103)</f>
        <v>485.168804116499</v>
      </c>
      <c r="W106" s="1">
        <v>103</v>
      </c>
      <c r="X106" s="1"/>
      <c r="Y106" s="1">
        <f>V105*(1-G103-I103)</f>
        <v>558.123076650379</v>
      </c>
      <c r="Z106" s="1">
        <v>103</v>
      </c>
      <c r="AA106" s="1"/>
      <c r="AB106" s="1">
        <f>Y105*(1-G103-I103)</f>
        <v>717.54711905334</v>
      </c>
      <c r="AC106" s="1">
        <v>103</v>
      </c>
      <c r="AD106" s="1"/>
      <c r="AE106" s="1">
        <f>AB105*(1-G103-I103)</f>
        <v>710.509139662731</v>
      </c>
      <c r="AF106" s="1">
        <v>103</v>
      </c>
      <c r="AG106" s="1"/>
      <c r="AH106" s="1">
        <f>AE105*(1-G103-I103)</f>
        <v>693.727401985654</v>
      </c>
      <c r="AI106" s="1">
        <v>103</v>
      </c>
    </row>
    <row r="107" s="1" customFormat="1" spans="3:35">
      <c r="C107" s="2"/>
      <c r="D107" s="2"/>
      <c r="E107" s="2"/>
      <c r="F107" s="2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>
        <v>104</v>
      </c>
      <c r="R107" s="1"/>
      <c r="S107" s="1">
        <f>P106*(1-G103-I103)</f>
        <v>506.838011127011</v>
      </c>
      <c r="T107" s="1">
        <v>104</v>
      </c>
      <c r="U107" s="1"/>
      <c r="V107" s="1">
        <f>S106*(1-G103-I103)</f>
        <v>338.706261727372</v>
      </c>
      <c r="W107" s="1">
        <v>104</v>
      </c>
      <c r="X107" s="1"/>
      <c r="Y107" s="1">
        <f>V106*(1-G103-I103)</f>
        <v>302.405711893034</v>
      </c>
      <c r="Z107" s="1">
        <v>104</v>
      </c>
      <c r="AA107" s="1"/>
      <c r="AB107" s="1">
        <f>Y106*(1-G103-I103)</f>
        <v>347.878109405115</v>
      </c>
      <c r="AC107" s="1">
        <v>104</v>
      </c>
      <c r="AD107" s="1"/>
      <c r="AE107" s="1">
        <f>AB106*(1-G103-I103)</f>
        <v>447.247113814879</v>
      </c>
      <c r="AF107" s="1">
        <v>104</v>
      </c>
      <c r="AG107" s="1"/>
      <c r="AH107" s="1">
        <f>AE106*(1-G103-I103)</f>
        <v>442.860341314571</v>
      </c>
      <c r="AI107" s="1">
        <v>104</v>
      </c>
    </row>
    <row r="108" s="1" customFormat="1" spans="3:35">
      <c r="C108" s="2"/>
      <c r="D108" s="2"/>
      <c r="E108" s="2"/>
      <c r="F108" s="2"/>
      <c r="G108" s="3"/>
      <c r="H108" s="3"/>
      <c r="I108" s="3"/>
      <c r="J108" s="3"/>
      <c r="K108" s="1"/>
      <c r="L108" s="1"/>
      <c r="M108" s="1"/>
      <c r="N108" s="1"/>
      <c r="O108" s="1"/>
      <c r="P108" s="7">
        <f>SUM(P3:P106)/10000</f>
        <v>6633.10425179587</v>
      </c>
      <c r="V108" s="1">
        <f>S107*(1-G103-I103)</f>
        <v>315.912128456861</v>
      </c>
      <c r="W108" s="1">
        <v>105</v>
      </c>
      <c r="X108" s="1"/>
      <c r="Y108" s="1">
        <f>V107*(1-G103-I103)</f>
        <v>211.115610342703</v>
      </c>
      <c r="Z108" s="1">
        <v>105</v>
      </c>
      <c r="AA108" s="1"/>
      <c r="AB108" s="1">
        <f>Y107*(1-G103-I103)</f>
        <v>188.489477908752</v>
      </c>
      <c r="AC108" s="1">
        <v>105</v>
      </c>
      <c r="AD108" s="1"/>
      <c r="AE108" s="1">
        <f>AB107*(1-G103-I103)</f>
        <v>216.832422930052</v>
      </c>
      <c r="AF108" s="1">
        <v>105</v>
      </c>
      <c r="AG108" s="1"/>
      <c r="AH108" s="1">
        <f>AE107*(1-G103-I103)</f>
        <v>278.769122618232</v>
      </c>
      <c r="AI108" s="1">
        <v>105</v>
      </c>
    </row>
    <row r="109" s="1" customFormat="1" spans="3:35">
      <c r="C109" s="2"/>
      <c r="D109" s="2"/>
      <c r="E109" s="2"/>
      <c r="F109" s="2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>
        <f>SUM(S3:S107)</f>
        <v>66236348.4712697</v>
      </c>
      <c r="V109" s="1">
        <f>S108*(1-G108-I108)</f>
        <v>0</v>
      </c>
      <c r="W109" s="1">
        <v>106</v>
      </c>
      <c r="X109" s="1"/>
      <c r="Y109" s="1">
        <f>V108*(1-G103-I103)</f>
        <v>196.908027249627</v>
      </c>
      <c r="Z109" s="1">
        <v>106</v>
      </c>
      <c r="AA109" s="1"/>
      <c r="AB109" s="1">
        <f>Y108*(1-G103-I103)</f>
        <v>131.588358311033</v>
      </c>
      <c r="AC109" s="1">
        <v>106</v>
      </c>
      <c r="AD109" s="1"/>
      <c r="AE109" s="1">
        <f>AB108*(1-G103-I103)</f>
        <v>117.485490138099</v>
      </c>
      <c r="AF109" s="1">
        <v>106</v>
      </c>
      <c r="AG109" s="1"/>
      <c r="AH109" s="1">
        <f>AE108*(1-G103-I103)</f>
        <v>135.15164755298</v>
      </c>
      <c r="AI109" s="1">
        <v>106</v>
      </c>
    </row>
    <row r="110" s="1" customFormat="1" spans="3:35">
      <c r="C110" s="2"/>
      <c r="D110" s="2"/>
      <c r="E110" s="2"/>
      <c r="F110" s="2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>
        <f>Y109*(1-G103-I103)</f>
        <v>122.732771877843</v>
      </c>
      <c r="AC110" s="1">
        <v>107</v>
      </c>
      <c r="AD110" s="1"/>
      <c r="AE110" s="1">
        <f>AB109*(1-G103-I103)</f>
        <v>82.0190227282801</v>
      </c>
      <c r="AF110" s="1">
        <v>107</v>
      </c>
      <c r="AG110" s="1"/>
      <c r="AH110" s="1">
        <f>AE109*(1-G103-I103)</f>
        <v>73.2287051040134</v>
      </c>
      <c r="AI110" s="1">
        <v>107</v>
      </c>
    </row>
    <row r="111" s="1" customFormat="1" spans="3:35">
      <c r="C111" s="2"/>
      <c r="D111" s="2"/>
      <c r="E111" s="2"/>
      <c r="F111" s="2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>
        <f>AB110*(1-G103-I103)</f>
        <v>76.4993357722408</v>
      </c>
      <c r="AF111" s="1">
        <v>108</v>
      </c>
      <c r="AG111" s="1"/>
      <c r="AH111" s="1">
        <f>AE110*(1-G103-I103)</f>
        <v>51.1224562388821</v>
      </c>
      <c r="AI111" s="1">
        <v>108</v>
      </c>
    </row>
    <row r="112" s="1" customFormat="1" spans="3:35">
      <c r="C112" s="2"/>
      <c r="D112" s="2"/>
      <c r="E112" s="2"/>
      <c r="F112" s="2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>
        <f>AE111*(1-G103-I103)</f>
        <v>47.6820354014224</v>
      </c>
      <c r="AI112" s="1">
        <v>109</v>
      </c>
    </row>
    <row r="113" s="1" customFormat="1" spans="3:35">
      <c r="C113" s="2"/>
      <c r="D113" s="2"/>
      <c r="E113" s="2"/>
      <c r="F113" s="2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8" t="s">
        <v>103</v>
      </c>
      <c r="S113" s="9">
        <f>SUM(S3:S107)/10000</f>
        <v>6623.63484712697</v>
      </c>
      <c r="T113" s="9"/>
      <c r="U113" s="9"/>
      <c r="V113" s="2">
        <f>SUM(V3:V108)/10000</f>
        <v>6611.55726583531</v>
      </c>
      <c r="W113" s="9"/>
      <c r="X113" s="9"/>
      <c r="Y113" s="2">
        <f>SUM(Y3:Y109)/10000</f>
        <v>6597.76370656835</v>
      </c>
      <c r="Z113" s="9"/>
      <c r="AA113" s="9"/>
      <c r="AB113" s="2">
        <f>SUM(AB3:AB110)/10000</f>
        <v>6582.28627841161</v>
      </c>
      <c r="AC113" s="9"/>
      <c r="AD113" s="9"/>
      <c r="AE113" s="2">
        <f>SUM(AE3:AE111)/10000</f>
        <v>6565.37143923853</v>
      </c>
      <c r="AF113" s="9"/>
      <c r="AG113" s="9"/>
      <c r="AH113" s="2">
        <f>SUM(AH3:AH112)/10000</f>
        <v>6547.27276253829</v>
      </c>
    </row>
    <row r="114" s="1" customFormat="1" spans="3:35">
      <c r="C114" s="2"/>
      <c r="D114" s="2"/>
      <c r="E114" s="2"/>
      <c r="F114" s="2"/>
      <c r="G114" s="3"/>
      <c r="H114" s="3"/>
      <c r="I114" s="3"/>
      <c r="J114" s="3"/>
    </row>
    <row r="115" s="1" customFormat="1" spans="3:35">
      <c r="C115" s="2"/>
      <c r="D115" s="2"/>
      <c r="E115" s="2"/>
      <c r="F115" s="2"/>
      <c r="G115" s="3"/>
      <c r="H115" s="3"/>
      <c r="I115" s="3"/>
      <c r="J115" s="3"/>
    </row>
    <row r="116" s="1" customFormat="1" spans="3:35">
      <c r="C116" s="2"/>
      <c r="D116" s="2"/>
      <c r="E116" s="2"/>
      <c r="F116" s="2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0"/>
    </row>
    <row r="117" s="1" customFormat="1" spans="3:35">
      <c r="C117" s="2"/>
      <c r="D117" s="2"/>
      <c r="E117" s="2"/>
      <c r="F117" s="2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0"/>
    </row>
    <row r="118" s="1" customFormat="1" spans="3:35">
      <c r="C118" s="2"/>
      <c r="D118" s="2"/>
      <c r="E118" s="2"/>
      <c r="F118" s="2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0"/>
      <c r="AI118" s="11"/>
    </row>
    <row r="120" s="1" customFormat="1" spans="3:35">
      <c r="C120" s="2"/>
      <c r="D120" s="2"/>
      <c r="E120" s="2"/>
      <c r="F120" s="2"/>
      <c r="G120" s="3"/>
      <c r="H120" s="3"/>
      <c r="I120" s="3"/>
      <c r="J120" s="3"/>
    </row>
    <row r="121" s="1" customFormat="1" spans="3:35">
      <c r="C121" s="2"/>
      <c r="D121" s="2"/>
      <c r="E121" s="2"/>
      <c r="F121" s="2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2"/>
      <c r="W121" s="7"/>
      <c r="X121" s="1"/>
      <c r="Y121" s="1"/>
      <c r="Z121" s="1"/>
      <c r="AA121" s="1"/>
      <c r="AB121" s="7"/>
    </row>
    <row r="122" s="1" customFormat="1" spans="3:35">
      <c r="C122" s="2"/>
      <c r="D122" s="2"/>
      <c r="E122" s="2"/>
      <c r="F122" s="2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2"/>
      <c r="W122" s="7"/>
      <c r="X122" s="1"/>
      <c r="Y122" s="1"/>
      <c r="Z122" s="1"/>
      <c r="AA122" s="1"/>
      <c r="AB122" s="7"/>
    </row>
    <row r="123" s="1" customFormat="1" spans="3:35">
      <c r="C123" s="2"/>
      <c r="D123" s="2"/>
      <c r="E123" s="2"/>
      <c r="F123" s="2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2"/>
      <c r="W123" s="7"/>
      <c r="X123" s="1"/>
      <c r="Y123" s="1"/>
      <c r="Z123" s="1"/>
      <c r="AA123" s="1"/>
      <c r="AB123" s="7"/>
    </row>
    <row r="124" s="1" customFormat="1" spans="3:35">
      <c r="C124" s="2"/>
      <c r="D124" s="2"/>
      <c r="E124" s="2"/>
      <c r="F124" s="2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2"/>
      <c r="W124" s="7"/>
      <c r="X124" s="1"/>
      <c r="Y124" s="1"/>
      <c r="Z124" s="1"/>
      <c r="AA124" s="1"/>
      <c r="AB124" s="7"/>
    </row>
    <row r="125" s="1" customFormat="1" spans="3:35">
      <c r="C125" s="2"/>
      <c r="D125" s="2"/>
      <c r="E125" s="2"/>
      <c r="F125" s="2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2"/>
      <c r="W125" s="7"/>
      <c r="X125" s="1"/>
      <c r="Y125" s="1"/>
      <c r="Z125" s="1"/>
      <c r="AA125" s="1"/>
      <c r="AB125" s="7"/>
    </row>
    <row r="127" s="1" customFormat="1" spans="3:35">
      <c r="C127" s="2"/>
      <c r="D127" s="2"/>
      <c r="E127" s="2"/>
      <c r="F127" s="2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7"/>
    </row>
    <row r="128" s="1" customFormat="1" spans="3:35">
      <c r="C128" s="2"/>
      <c r="D128" s="2"/>
      <c r="E128" s="2"/>
      <c r="F128" s="2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7"/>
    </row>
    <row r="129" s="1" customFormat="1" spans="3:24">
      <c r="C129" s="2"/>
      <c r="D129" s="2"/>
      <c r="E129" s="2"/>
      <c r="F129" s="2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7"/>
    </row>
    <row r="130" s="1" customFormat="1" spans="3:24">
      <c r="C130" s="2"/>
      <c r="D130" s="2"/>
      <c r="E130" s="2"/>
      <c r="F130" s="2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7"/>
    </row>
    <row r="131" s="1" customFormat="1" spans="3:24">
      <c r="C131" s="2"/>
      <c r="D131" s="2"/>
      <c r="E131" s="2"/>
      <c r="F131" s="2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7"/>
    </row>
    <row r="132" s="1" customFormat="1" spans="3:24">
      <c r="C132" s="2"/>
      <c r="D132" s="2"/>
      <c r="E132" s="2"/>
      <c r="F132" s="2"/>
      <c r="G132" s="3"/>
      <c r="H132" s="3"/>
      <c r="I132" s="3"/>
      <c r="J132" s="3"/>
    </row>
  </sheetData>
  <mergeCells count="9">
    <mergeCell ref="J2:K2"/>
    <mergeCell ref="M2:O2"/>
    <mergeCell ref="P2:Q2"/>
    <mergeCell ref="S2:T2"/>
    <mergeCell ref="V2:W2"/>
    <mergeCell ref="Y2:Z2"/>
    <mergeCell ref="AB2:AC2"/>
    <mergeCell ref="AE2:AF2"/>
    <mergeCell ref="AH2:A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Hisao</dc:creator>
  <cp:lastModifiedBy>Peng Hsiao</cp:lastModifiedBy>
  <dcterms:created xsi:type="dcterms:W3CDTF">2026-06-19T13:17:52Z</dcterms:created>
  <dcterms:modified xsi:type="dcterms:W3CDTF">2026-06-19T13:23:32Z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F1D0860DF04C401D9A9D96662B424368_11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